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Pricelist excel code\"/>
    </mc:Choice>
  </mc:AlternateContent>
  <xr:revisionPtr revIDLastSave="0" documentId="13_ncr:1_{9A9BAB59-8043-4442-A3E4-004031687A70}" xr6:coauthVersionLast="47" xr6:coauthVersionMax="47" xr10:uidLastSave="{00000000-0000-0000-0000-000000000000}"/>
  <bookViews>
    <workbookView xWindow="-108" yWindow="-108" windowWidth="23256" windowHeight="12456" activeTab="3" xr2:uid="{773DACD1-DCC1-4191-9930-61EF7A980EF1}"/>
  </bookViews>
  <sheets>
    <sheet name="Small Pricelist" sheetId="5" r:id="rId1"/>
    <sheet name="small" sheetId="3" r:id="rId2"/>
    <sheet name="Barrel Pricelist" sheetId="6" r:id="rId3"/>
    <sheet name="Barrel" sheetId="1" r:id="rId4"/>
    <sheet name="ro bazaar order 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80" i="1"/>
  <c r="D80" i="1" s="1"/>
  <c r="B4" i="1"/>
  <c r="J4" i="1" s="1"/>
  <c r="B5" i="1"/>
  <c r="B6" i="1"/>
  <c r="B7" i="1"/>
  <c r="B8" i="1"/>
  <c r="B9" i="1"/>
  <c r="B10" i="1"/>
  <c r="B11" i="1"/>
  <c r="B12" i="1"/>
  <c r="D12" i="1" s="1"/>
  <c r="B13" i="1"/>
  <c r="B14" i="1"/>
  <c r="B15" i="1"/>
  <c r="B16" i="1"/>
  <c r="N16" i="1" s="1"/>
  <c r="B17" i="1"/>
  <c r="B18" i="1"/>
  <c r="B19" i="1"/>
  <c r="B20" i="1"/>
  <c r="J20" i="1" s="1"/>
  <c r="B21" i="1"/>
  <c r="B22" i="1"/>
  <c r="B23" i="1"/>
  <c r="B24" i="1"/>
  <c r="B25" i="1"/>
  <c r="B26" i="1"/>
  <c r="B27" i="1"/>
  <c r="L27" i="1" s="1"/>
  <c r="B28" i="1"/>
  <c r="D28" i="1" s="1"/>
  <c r="B29" i="1"/>
  <c r="B30" i="1"/>
  <c r="D30" i="1" s="1"/>
  <c r="B31" i="1"/>
  <c r="B32" i="1"/>
  <c r="B33" i="1"/>
  <c r="B34" i="1"/>
  <c r="B35" i="1"/>
  <c r="B36" i="1"/>
  <c r="J36" i="1" s="1"/>
  <c r="B37" i="1"/>
  <c r="B38" i="1"/>
  <c r="D38" i="1" s="1"/>
  <c r="B39" i="1"/>
  <c r="B40" i="1"/>
  <c r="B41" i="1"/>
  <c r="B42" i="1"/>
  <c r="B43" i="1"/>
  <c r="F43" i="1" s="1"/>
  <c r="B44" i="1"/>
  <c r="D44" i="1" s="1"/>
  <c r="B45" i="1"/>
  <c r="B46" i="1"/>
  <c r="D46" i="1" s="1"/>
  <c r="B47" i="1"/>
  <c r="B48" i="1"/>
  <c r="N48" i="1" s="1"/>
  <c r="B49" i="1"/>
  <c r="B50" i="1"/>
  <c r="B51" i="1"/>
  <c r="B52" i="1"/>
  <c r="J52" i="1" s="1"/>
  <c r="B53" i="1"/>
  <c r="B54" i="1"/>
  <c r="D54" i="1" s="1"/>
  <c r="B55" i="1"/>
  <c r="H55" i="1" s="1"/>
  <c r="B56" i="1"/>
  <c r="B57" i="1"/>
  <c r="B58" i="1"/>
  <c r="F58" i="1" s="1"/>
  <c r="B59" i="1"/>
  <c r="L59" i="1" s="1"/>
  <c r="B60" i="1"/>
  <c r="D60" i="1" s="1"/>
  <c r="B61" i="1"/>
  <c r="B62" i="1"/>
  <c r="D62" i="1" s="1"/>
  <c r="B63" i="1"/>
  <c r="B64" i="1"/>
  <c r="B65" i="1"/>
  <c r="B66" i="1"/>
  <c r="F66" i="1" s="1"/>
  <c r="B67" i="1"/>
  <c r="H67" i="1" s="1"/>
  <c r="B68" i="1"/>
  <c r="J68" i="1" s="1"/>
  <c r="B69" i="1"/>
  <c r="B70" i="1"/>
  <c r="F70" i="1" s="1"/>
  <c r="B71" i="1"/>
  <c r="F71" i="1" s="1"/>
  <c r="B72" i="1"/>
  <c r="B73" i="1"/>
  <c r="L73" i="1" s="1"/>
  <c r="B74" i="1"/>
  <c r="D74" i="1" s="1"/>
  <c r="B75" i="1"/>
  <c r="B76" i="1"/>
  <c r="B77" i="1"/>
  <c r="B78" i="1"/>
  <c r="D78" i="1" s="1"/>
  <c r="B79" i="1"/>
  <c r="N3" i="1"/>
  <c r="B4" i="3"/>
  <c r="B5" i="3"/>
  <c r="B6" i="3"/>
  <c r="F6" i="3" s="1"/>
  <c r="B7" i="3"/>
  <c r="D7" i="3" s="1"/>
  <c r="B8" i="3"/>
  <c r="B9" i="3"/>
  <c r="L9" i="3" s="1"/>
  <c r="B10" i="3"/>
  <c r="B11" i="3"/>
  <c r="D11" i="3" s="1"/>
  <c r="B12" i="3"/>
  <c r="B13" i="3"/>
  <c r="F13" i="3" s="1"/>
  <c r="B14" i="3"/>
  <c r="F14" i="3" s="1"/>
  <c r="B15" i="3"/>
  <c r="B16" i="3"/>
  <c r="B17" i="3"/>
  <c r="L17" i="3" s="1"/>
  <c r="B18" i="3"/>
  <c r="B19" i="3"/>
  <c r="D19" i="3" s="1"/>
  <c r="B20" i="3"/>
  <c r="B21" i="3"/>
  <c r="P21" i="3" s="1"/>
  <c r="B22" i="3"/>
  <c r="F22" i="3" s="1"/>
  <c r="B23" i="3"/>
  <c r="D23" i="3" s="1"/>
  <c r="B24" i="3"/>
  <c r="B25" i="3"/>
  <c r="L25" i="3" s="1"/>
  <c r="B26" i="3"/>
  <c r="B27" i="3"/>
  <c r="D27" i="3" s="1"/>
  <c r="B28" i="3"/>
  <c r="B29" i="3"/>
  <c r="B30" i="3"/>
  <c r="F30" i="3" s="1"/>
  <c r="B31" i="3"/>
  <c r="D31" i="3" s="1"/>
  <c r="B32" i="3"/>
  <c r="B33" i="3"/>
  <c r="L33" i="3" s="1"/>
  <c r="B34" i="3"/>
  <c r="B35" i="3"/>
  <c r="D35" i="3" s="1"/>
  <c r="B36" i="3"/>
  <c r="B37" i="3"/>
  <c r="B38" i="3"/>
  <c r="F38" i="3" s="1"/>
  <c r="B39" i="3"/>
  <c r="D39" i="3" s="1"/>
  <c r="B40" i="3"/>
  <c r="B41" i="3"/>
  <c r="L41" i="3" s="1"/>
  <c r="B42" i="3"/>
  <c r="B43" i="3"/>
  <c r="D43" i="3" s="1"/>
  <c r="B44" i="3"/>
  <c r="B45" i="3"/>
  <c r="P45" i="3" s="1"/>
  <c r="B46" i="3"/>
  <c r="F46" i="3" s="1"/>
  <c r="B47" i="3"/>
  <c r="B48" i="3"/>
  <c r="B49" i="3"/>
  <c r="L49" i="3" s="1"/>
  <c r="B50" i="3"/>
  <c r="B51" i="3"/>
  <c r="D51" i="3" s="1"/>
  <c r="B52" i="3"/>
  <c r="B53" i="3"/>
  <c r="F53" i="3" s="1"/>
  <c r="B54" i="3"/>
  <c r="F54" i="3" s="1"/>
  <c r="B55" i="3"/>
  <c r="B56" i="3"/>
  <c r="B57" i="3"/>
  <c r="L57" i="3" s="1"/>
  <c r="B58" i="3"/>
  <c r="B59" i="3"/>
  <c r="D59" i="3" s="1"/>
  <c r="B60" i="3"/>
  <c r="B61" i="3"/>
  <c r="B62" i="3"/>
  <c r="F62" i="3" s="1"/>
  <c r="B63" i="3"/>
  <c r="B64" i="3"/>
  <c r="B65" i="3"/>
  <c r="L65" i="3" s="1"/>
  <c r="B66" i="3"/>
  <c r="B67" i="3"/>
  <c r="D67" i="3" s="1"/>
  <c r="B68" i="3"/>
  <c r="B69" i="3"/>
  <c r="B70" i="3"/>
  <c r="F70" i="3" s="1"/>
  <c r="B71" i="3"/>
  <c r="B72" i="3"/>
  <c r="F72" i="3" s="1"/>
  <c r="B73" i="3"/>
  <c r="L73" i="3" s="1"/>
  <c r="B74" i="3"/>
  <c r="B75" i="3"/>
  <c r="D75" i="3" s="1"/>
  <c r="B76" i="3"/>
  <c r="B77" i="3"/>
  <c r="P77" i="3" s="1"/>
  <c r="B78" i="3"/>
  <c r="F78" i="3" s="1"/>
  <c r="B79" i="3"/>
  <c r="B80" i="3"/>
  <c r="F80" i="3" s="1"/>
  <c r="B81" i="3"/>
  <c r="L81" i="3" s="1"/>
  <c r="B82" i="3"/>
  <c r="B83" i="3"/>
  <c r="D83" i="3" s="1"/>
  <c r="B84" i="3"/>
  <c r="B85" i="3"/>
  <c r="F85" i="3" s="1"/>
  <c r="B86" i="3"/>
  <c r="F86" i="3" s="1"/>
  <c r="B87" i="3"/>
  <c r="B88" i="3"/>
  <c r="F88" i="3" s="1"/>
  <c r="B89" i="3"/>
  <c r="L89" i="3" s="1"/>
  <c r="B90" i="3"/>
  <c r="B91" i="3"/>
  <c r="D91" i="3" s="1"/>
  <c r="B92" i="3"/>
  <c r="B93" i="3"/>
  <c r="B94" i="3"/>
  <c r="F94" i="3" s="1"/>
  <c r="B95" i="3"/>
  <c r="D95" i="3" s="1"/>
  <c r="B96" i="3"/>
  <c r="F96" i="3" s="1"/>
  <c r="B97" i="3"/>
  <c r="L97" i="3" s="1"/>
  <c r="B98" i="3"/>
  <c r="B99" i="3"/>
  <c r="D99" i="3" s="1"/>
  <c r="B100" i="3"/>
  <c r="B101" i="3"/>
  <c r="B102" i="3"/>
  <c r="F102" i="3" s="1"/>
  <c r="B103" i="3"/>
  <c r="D103" i="3" s="1"/>
  <c r="B104" i="3"/>
  <c r="F104" i="3" s="1"/>
  <c r="B105" i="3"/>
  <c r="L105" i="3" s="1"/>
  <c r="B106" i="3"/>
  <c r="B107" i="3"/>
  <c r="D107" i="3" s="1"/>
  <c r="B108" i="3"/>
  <c r="B109" i="3"/>
  <c r="P109" i="3" s="1"/>
  <c r="B110" i="3"/>
  <c r="F110" i="3" s="1"/>
  <c r="B111" i="3"/>
  <c r="B112" i="3"/>
  <c r="F112" i="3" s="1"/>
  <c r="B113" i="3"/>
  <c r="L113" i="3" s="1"/>
  <c r="B114" i="3"/>
  <c r="B115" i="3"/>
  <c r="D115" i="3" s="1"/>
  <c r="B116" i="3"/>
  <c r="B117" i="3"/>
  <c r="F117" i="3" s="1"/>
  <c r="B118" i="3"/>
  <c r="F118" i="3" s="1"/>
  <c r="B119" i="3"/>
  <c r="B120" i="3"/>
  <c r="F120" i="3" s="1"/>
  <c r="B121" i="3"/>
  <c r="L121" i="3" s="1"/>
  <c r="B122" i="3"/>
  <c r="B123" i="3"/>
  <c r="D123" i="3" s="1"/>
  <c r="B124" i="3"/>
  <c r="B125" i="3"/>
  <c r="B126" i="3"/>
  <c r="F126" i="3" s="1"/>
  <c r="B127" i="3"/>
  <c r="B128" i="3"/>
  <c r="F128" i="3" s="1"/>
  <c r="B129" i="3"/>
  <c r="L129" i="3" s="1"/>
  <c r="B130" i="3"/>
  <c r="B131" i="3"/>
  <c r="D131" i="3" s="1"/>
  <c r="B132" i="3"/>
  <c r="B133" i="3"/>
  <c r="B134" i="3"/>
  <c r="F134" i="3" s="1"/>
  <c r="B135" i="3"/>
  <c r="B136" i="3"/>
  <c r="F136" i="3" s="1"/>
  <c r="B137" i="3"/>
  <c r="L137" i="3" s="1"/>
  <c r="B138" i="3"/>
  <c r="B139" i="3"/>
  <c r="D139" i="3" s="1"/>
  <c r="B140" i="3"/>
  <c r="B141" i="3"/>
  <c r="P141" i="3" s="1"/>
  <c r="B142" i="3"/>
  <c r="F142" i="3" s="1"/>
  <c r="B143" i="3"/>
  <c r="B144" i="3"/>
  <c r="F144" i="3" s="1"/>
  <c r="B145" i="3"/>
  <c r="L145" i="3" s="1"/>
  <c r="B146" i="3"/>
  <c r="B147" i="3"/>
  <c r="B148" i="3"/>
  <c r="B149" i="3"/>
  <c r="D149" i="3" s="1"/>
  <c r="B150" i="3"/>
  <c r="F150" i="3" s="1"/>
  <c r="B151" i="3"/>
  <c r="B152" i="3"/>
  <c r="F152" i="3" s="1"/>
  <c r="B153" i="3"/>
  <c r="H153" i="3" s="1"/>
  <c r="B154" i="3"/>
  <c r="B155" i="3"/>
  <c r="B156" i="3"/>
  <c r="B157" i="3"/>
  <c r="D157" i="3" s="1"/>
  <c r="B158" i="3"/>
  <c r="F158" i="3" s="1"/>
  <c r="B159" i="3"/>
  <c r="B160" i="3"/>
  <c r="F160" i="3" s="1"/>
  <c r="B161" i="3"/>
  <c r="H161" i="3" s="1"/>
  <c r="B162" i="3"/>
  <c r="B163" i="3"/>
  <c r="B164" i="3"/>
  <c r="B165" i="3"/>
  <c r="D165" i="3" s="1"/>
  <c r="B166" i="3"/>
  <c r="F166" i="3" s="1"/>
  <c r="B167" i="3"/>
  <c r="B168" i="3"/>
  <c r="F168" i="3" s="1"/>
  <c r="B169" i="3"/>
  <c r="H169" i="3" s="1"/>
  <c r="B170" i="3"/>
  <c r="B171" i="3"/>
  <c r="B172" i="3"/>
  <c r="B173" i="3"/>
  <c r="D173" i="3" s="1"/>
  <c r="B174" i="3"/>
  <c r="F174" i="3" s="1"/>
  <c r="B175" i="3"/>
  <c r="H175" i="3" s="1"/>
  <c r="B176" i="3"/>
  <c r="F176" i="3" s="1"/>
  <c r="B177" i="3"/>
  <c r="B178" i="3"/>
  <c r="B179" i="3"/>
  <c r="B180" i="3"/>
  <c r="B181" i="3"/>
  <c r="D181" i="3" s="1"/>
  <c r="B182" i="3"/>
  <c r="F182" i="3" s="1"/>
  <c r="B183" i="3"/>
  <c r="H183" i="3" s="1"/>
  <c r="B184" i="3"/>
  <c r="F184" i="3" s="1"/>
  <c r="B185" i="3"/>
  <c r="H185" i="3" s="1"/>
  <c r="B186" i="3"/>
  <c r="B187" i="3"/>
  <c r="B188" i="3"/>
  <c r="B189" i="3"/>
  <c r="B190" i="3"/>
  <c r="F190" i="3" s="1"/>
  <c r="B191" i="3"/>
  <c r="H191" i="3" s="1"/>
  <c r="B192" i="3"/>
  <c r="F192" i="3" s="1"/>
  <c r="B193" i="3"/>
  <c r="H193" i="3" s="1"/>
  <c r="B194" i="3"/>
  <c r="B195" i="3"/>
  <c r="B196" i="3"/>
  <c r="B197" i="3"/>
  <c r="B198" i="3"/>
  <c r="F198" i="3" s="1"/>
  <c r="B199" i="3"/>
  <c r="H199" i="3" s="1"/>
  <c r="B200" i="3"/>
  <c r="F200" i="3" s="1"/>
  <c r="B201" i="3"/>
  <c r="H201" i="3" s="1"/>
  <c r="B202" i="3"/>
  <c r="B203" i="3"/>
  <c r="B204" i="3"/>
  <c r="B205" i="3"/>
  <c r="B206" i="3"/>
  <c r="F206" i="3" s="1"/>
  <c r="B207" i="3"/>
  <c r="H207" i="3" s="1"/>
  <c r="B208" i="3"/>
  <c r="F208" i="3" s="1"/>
  <c r="B209" i="3"/>
  <c r="H209" i="3" s="1"/>
  <c r="B210" i="3"/>
  <c r="B211" i="3"/>
  <c r="B212" i="3"/>
  <c r="B213" i="3"/>
  <c r="B214" i="3"/>
  <c r="F214" i="3" s="1"/>
  <c r="B215" i="3"/>
  <c r="H215" i="3" s="1"/>
  <c r="B216" i="3"/>
  <c r="F216" i="3" s="1"/>
  <c r="B217" i="3"/>
  <c r="H217" i="3" s="1"/>
  <c r="B218" i="3"/>
  <c r="B219" i="3"/>
  <c r="B220" i="3"/>
  <c r="B221" i="3"/>
  <c r="B222" i="3"/>
  <c r="F222" i="3" s="1"/>
  <c r="B223" i="3"/>
  <c r="H223" i="3" s="1"/>
  <c r="B224" i="3"/>
  <c r="F224" i="3" s="1"/>
  <c r="B225" i="3"/>
  <c r="H225" i="3" s="1"/>
  <c r="B226" i="3"/>
  <c r="B227" i="3"/>
  <c r="B228" i="3"/>
  <c r="B229" i="3"/>
  <c r="B230" i="3"/>
  <c r="F230" i="3" s="1"/>
  <c r="B231" i="3"/>
  <c r="H231" i="3" s="1"/>
  <c r="B232" i="3"/>
  <c r="F232" i="3" s="1"/>
  <c r="B233" i="3"/>
  <c r="H233" i="3" s="1"/>
  <c r="B234" i="3"/>
  <c r="J234" i="3" s="1"/>
  <c r="B235" i="3"/>
  <c r="B236" i="3"/>
  <c r="B237" i="3"/>
  <c r="B238" i="3"/>
  <c r="J238" i="3" s="1"/>
  <c r="B239" i="3"/>
  <c r="H239" i="3" s="1"/>
  <c r="B240" i="3"/>
  <c r="J240" i="3" s="1"/>
  <c r="B241" i="3"/>
  <c r="H241" i="3" s="1"/>
  <c r="B242" i="3"/>
  <c r="J242" i="3" s="1"/>
  <c r="B243" i="3"/>
  <c r="B244" i="3"/>
  <c r="B245" i="3"/>
  <c r="B246" i="3"/>
  <c r="J246" i="3" s="1"/>
  <c r="B247" i="3"/>
  <c r="H247" i="3" s="1"/>
  <c r="B248" i="3"/>
  <c r="J248" i="3" s="1"/>
  <c r="B249" i="3"/>
  <c r="H249" i="3" s="1"/>
  <c r="B250" i="3"/>
  <c r="J250" i="3" s="1"/>
  <c r="B251" i="3"/>
  <c r="B252" i="3"/>
  <c r="B253" i="3"/>
  <c r="B254" i="3"/>
  <c r="J254" i="3" s="1"/>
  <c r="B255" i="3"/>
  <c r="H255" i="3" s="1"/>
  <c r="B256" i="3"/>
  <c r="J256" i="3" s="1"/>
  <c r="B257" i="3"/>
  <c r="H257" i="3" s="1"/>
  <c r="B258" i="3"/>
  <c r="J258" i="3" s="1"/>
  <c r="B259" i="3"/>
  <c r="B260" i="3"/>
  <c r="B261" i="3"/>
  <c r="B262" i="3"/>
  <c r="J262" i="3" s="1"/>
  <c r="B263" i="3"/>
  <c r="H263" i="3" s="1"/>
  <c r="B264" i="3"/>
  <c r="J264" i="3" s="1"/>
  <c r="B265" i="3"/>
  <c r="H265" i="3" s="1"/>
  <c r="B266" i="3"/>
  <c r="J266" i="3" s="1"/>
  <c r="B267" i="3"/>
  <c r="B268" i="3"/>
  <c r="B269" i="3"/>
  <c r="B270" i="3"/>
  <c r="J270" i="3" s="1"/>
  <c r="B271" i="3"/>
  <c r="H271" i="3" s="1"/>
  <c r="B272" i="3"/>
  <c r="F272" i="3" s="1"/>
  <c r="B273" i="3"/>
  <c r="H273" i="3" s="1"/>
  <c r="B274" i="3"/>
  <c r="J274" i="3" s="1"/>
  <c r="B275" i="3"/>
  <c r="B3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2" i="4"/>
  <c r="N80" i="1" l="1"/>
  <c r="L80" i="1"/>
  <c r="P125" i="3"/>
  <c r="H125" i="3"/>
  <c r="P93" i="3"/>
  <c r="H93" i="3"/>
  <c r="P61" i="3"/>
  <c r="H61" i="3"/>
  <c r="F5" i="3"/>
  <c r="H5" i="3"/>
  <c r="H117" i="3"/>
  <c r="F69" i="3"/>
  <c r="H69" i="3"/>
  <c r="F37" i="3"/>
  <c r="H37" i="3"/>
  <c r="P29" i="3"/>
  <c r="H29" i="3"/>
  <c r="H109" i="3"/>
  <c r="H167" i="3"/>
  <c r="H159" i="3"/>
  <c r="H151" i="3"/>
  <c r="H143" i="3"/>
  <c r="D143" i="3"/>
  <c r="H135" i="3"/>
  <c r="H127" i="3"/>
  <c r="H119" i="3"/>
  <c r="D119" i="3"/>
  <c r="H111" i="3"/>
  <c r="D111" i="3"/>
  <c r="H103" i="3"/>
  <c r="H95" i="3"/>
  <c r="H87" i="3"/>
  <c r="D87" i="3"/>
  <c r="H79" i="3"/>
  <c r="D79" i="3"/>
  <c r="H71" i="3"/>
  <c r="H63" i="3"/>
  <c r="H55" i="3"/>
  <c r="D55" i="3"/>
  <c r="D135" i="3"/>
  <c r="D71" i="3"/>
  <c r="H85" i="3"/>
  <c r="H21" i="3"/>
  <c r="F133" i="3"/>
  <c r="H133" i="3"/>
  <c r="F101" i="3"/>
  <c r="H101" i="3"/>
  <c r="H53" i="3"/>
  <c r="H45" i="3"/>
  <c r="D127" i="3"/>
  <c r="D63" i="3"/>
  <c r="H141" i="3"/>
  <c r="H77" i="3"/>
  <c r="H13" i="3"/>
  <c r="F64" i="3"/>
  <c r="F56" i="3"/>
  <c r="F48" i="3"/>
  <c r="F40" i="3"/>
  <c r="F32" i="3"/>
  <c r="F24" i="3"/>
  <c r="F16" i="3"/>
  <c r="F8" i="3"/>
  <c r="H47" i="3"/>
  <c r="H39" i="3"/>
  <c r="H31" i="3"/>
  <c r="H23" i="3"/>
  <c r="H15" i="3"/>
  <c r="H7" i="3"/>
  <c r="D47" i="3"/>
  <c r="D15" i="3"/>
  <c r="F27" i="1"/>
  <c r="J80" i="1"/>
  <c r="R80" i="1"/>
  <c r="F80" i="1"/>
  <c r="H51" i="1"/>
  <c r="H39" i="1"/>
  <c r="H35" i="1"/>
  <c r="H23" i="1"/>
  <c r="H19" i="1"/>
  <c r="H7" i="1"/>
  <c r="F50" i="1"/>
  <c r="F42" i="1"/>
  <c r="F26" i="1"/>
  <c r="F59" i="1"/>
  <c r="D22" i="1"/>
  <c r="F18" i="1"/>
  <c r="D14" i="1"/>
  <c r="D10" i="1"/>
  <c r="F6" i="1"/>
  <c r="D70" i="1"/>
  <c r="D6" i="1"/>
  <c r="F51" i="1"/>
  <c r="F19" i="1"/>
  <c r="L35" i="1"/>
  <c r="F78" i="1"/>
  <c r="F10" i="1"/>
  <c r="F67" i="1"/>
  <c r="F35" i="1"/>
  <c r="H71" i="1"/>
  <c r="R77" i="1"/>
  <c r="J77" i="1"/>
  <c r="P77" i="1"/>
  <c r="H77" i="1"/>
  <c r="N77" i="1"/>
  <c r="R69" i="1"/>
  <c r="J69" i="1"/>
  <c r="H69" i="1"/>
  <c r="N69" i="1"/>
  <c r="R65" i="1"/>
  <c r="N65" i="1"/>
  <c r="J65" i="1"/>
  <c r="H65" i="1"/>
  <c r="P65" i="1"/>
  <c r="F65" i="1"/>
  <c r="L61" i="1"/>
  <c r="R61" i="1"/>
  <c r="J61" i="1"/>
  <c r="P61" i="1"/>
  <c r="H61" i="1"/>
  <c r="N61" i="1"/>
  <c r="F61" i="1"/>
  <c r="L57" i="1"/>
  <c r="R57" i="1"/>
  <c r="P57" i="1"/>
  <c r="N57" i="1"/>
  <c r="J57" i="1"/>
  <c r="H57" i="1"/>
  <c r="F57" i="1"/>
  <c r="L53" i="1"/>
  <c r="R53" i="1"/>
  <c r="J53" i="1"/>
  <c r="H53" i="1"/>
  <c r="N53" i="1"/>
  <c r="F53" i="1"/>
  <c r="L49" i="1"/>
  <c r="N49" i="1"/>
  <c r="J49" i="1"/>
  <c r="H49" i="1"/>
  <c r="P49" i="1"/>
  <c r="F49" i="1"/>
  <c r="L45" i="1"/>
  <c r="J45" i="1"/>
  <c r="P45" i="1"/>
  <c r="H45" i="1"/>
  <c r="N45" i="1"/>
  <c r="F45" i="1"/>
  <c r="L41" i="1"/>
  <c r="R41" i="1"/>
  <c r="P41" i="1"/>
  <c r="N41" i="1"/>
  <c r="J41" i="1"/>
  <c r="H41" i="1"/>
  <c r="F41" i="1"/>
  <c r="L37" i="1"/>
  <c r="J37" i="1"/>
  <c r="H37" i="1"/>
  <c r="N37" i="1"/>
  <c r="F37" i="1"/>
  <c r="L33" i="1"/>
  <c r="N33" i="1"/>
  <c r="J33" i="1"/>
  <c r="H33" i="1"/>
  <c r="P33" i="1"/>
  <c r="F33" i="1"/>
  <c r="L29" i="1"/>
  <c r="R29" i="1"/>
  <c r="J29" i="1"/>
  <c r="P29" i="1"/>
  <c r="H29" i="1"/>
  <c r="N29" i="1"/>
  <c r="F29" i="1"/>
  <c r="L25" i="1"/>
  <c r="P25" i="1"/>
  <c r="N25" i="1"/>
  <c r="J25" i="1"/>
  <c r="H25" i="1"/>
  <c r="F25" i="1"/>
  <c r="L21" i="1"/>
  <c r="J21" i="1"/>
  <c r="H21" i="1"/>
  <c r="N21" i="1"/>
  <c r="F21" i="1"/>
  <c r="L17" i="1"/>
  <c r="N17" i="1"/>
  <c r="J17" i="1"/>
  <c r="H17" i="1"/>
  <c r="P17" i="1"/>
  <c r="F17" i="1"/>
  <c r="L13" i="1"/>
  <c r="J13" i="1"/>
  <c r="P13" i="1"/>
  <c r="H13" i="1"/>
  <c r="N13" i="1"/>
  <c r="F13" i="1"/>
  <c r="R9" i="1"/>
  <c r="L9" i="1"/>
  <c r="P9" i="1"/>
  <c r="N9" i="1"/>
  <c r="J9" i="1"/>
  <c r="H9" i="1"/>
  <c r="F9" i="1"/>
  <c r="N5" i="1"/>
  <c r="L5" i="1"/>
  <c r="J5" i="1"/>
  <c r="H5" i="1"/>
  <c r="F5" i="1"/>
  <c r="D65" i="1"/>
  <c r="F73" i="1"/>
  <c r="L65" i="1"/>
  <c r="R3" i="1"/>
  <c r="P3" i="1"/>
  <c r="H3" i="1"/>
  <c r="F3" i="1"/>
  <c r="L3" i="1"/>
  <c r="R76" i="1"/>
  <c r="P76" i="1"/>
  <c r="H76" i="1"/>
  <c r="N76" i="1"/>
  <c r="F76" i="1"/>
  <c r="L76" i="1"/>
  <c r="R72" i="1"/>
  <c r="P72" i="1"/>
  <c r="H72" i="1"/>
  <c r="F72" i="1"/>
  <c r="L72" i="1"/>
  <c r="R68" i="1"/>
  <c r="P68" i="1"/>
  <c r="H68" i="1"/>
  <c r="N68" i="1"/>
  <c r="F68" i="1"/>
  <c r="L68" i="1"/>
  <c r="R64" i="1"/>
  <c r="P64" i="1"/>
  <c r="H64" i="1"/>
  <c r="F64" i="1"/>
  <c r="L64" i="1"/>
  <c r="R60" i="1"/>
  <c r="P60" i="1"/>
  <c r="L60" i="1"/>
  <c r="H60" i="1"/>
  <c r="N60" i="1"/>
  <c r="F60" i="1"/>
  <c r="R56" i="1"/>
  <c r="P56" i="1"/>
  <c r="H56" i="1"/>
  <c r="F56" i="1"/>
  <c r="L56" i="1"/>
  <c r="P52" i="1"/>
  <c r="L52" i="1"/>
  <c r="H52" i="1"/>
  <c r="N52" i="1"/>
  <c r="F52" i="1"/>
  <c r="P48" i="1"/>
  <c r="H48" i="1"/>
  <c r="F48" i="1"/>
  <c r="L48" i="1"/>
  <c r="P44" i="1"/>
  <c r="L44" i="1"/>
  <c r="H44" i="1"/>
  <c r="N44" i="1"/>
  <c r="F44" i="1"/>
  <c r="P40" i="1"/>
  <c r="H40" i="1"/>
  <c r="F40" i="1"/>
  <c r="L40" i="1"/>
  <c r="R36" i="1"/>
  <c r="P36" i="1"/>
  <c r="L36" i="1"/>
  <c r="H36" i="1"/>
  <c r="N36" i="1"/>
  <c r="F36" i="1"/>
  <c r="P32" i="1"/>
  <c r="H32" i="1"/>
  <c r="F32" i="1"/>
  <c r="L32" i="1"/>
  <c r="P28" i="1"/>
  <c r="L28" i="1"/>
  <c r="H28" i="1"/>
  <c r="N28" i="1"/>
  <c r="F28" i="1"/>
  <c r="P24" i="1"/>
  <c r="H24" i="1"/>
  <c r="F24" i="1"/>
  <c r="L24" i="1"/>
  <c r="R20" i="1"/>
  <c r="P20" i="1"/>
  <c r="L20" i="1"/>
  <c r="H20" i="1"/>
  <c r="N20" i="1"/>
  <c r="F20" i="1"/>
  <c r="R16" i="1"/>
  <c r="P16" i="1"/>
  <c r="H16" i="1"/>
  <c r="F16" i="1"/>
  <c r="L16" i="1"/>
  <c r="P12" i="1"/>
  <c r="L12" i="1"/>
  <c r="H12" i="1"/>
  <c r="N12" i="1"/>
  <c r="F12" i="1"/>
  <c r="R12" i="1"/>
  <c r="R8" i="1"/>
  <c r="P8" i="1"/>
  <c r="H8" i="1"/>
  <c r="F8" i="1"/>
  <c r="L8" i="1"/>
  <c r="R4" i="1"/>
  <c r="P4" i="1"/>
  <c r="L4" i="1"/>
  <c r="H4" i="1"/>
  <c r="F4" i="1"/>
  <c r="N4" i="1"/>
  <c r="D77" i="1"/>
  <c r="D73" i="1"/>
  <c r="D69" i="1"/>
  <c r="D64" i="1"/>
  <c r="D58" i="1"/>
  <c r="D53" i="1"/>
  <c r="D48" i="1"/>
  <c r="D42" i="1"/>
  <c r="D37" i="1"/>
  <c r="D32" i="1"/>
  <c r="D26" i="1"/>
  <c r="D21" i="1"/>
  <c r="D16" i="1"/>
  <c r="D5" i="1"/>
  <c r="F77" i="1"/>
  <c r="F34" i="1"/>
  <c r="J3" i="1"/>
  <c r="J64" i="1"/>
  <c r="J48" i="1"/>
  <c r="J32" i="1"/>
  <c r="J16" i="1"/>
  <c r="L77" i="1"/>
  <c r="N72" i="1"/>
  <c r="N40" i="1"/>
  <c r="N8" i="1"/>
  <c r="P21" i="1"/>
  <c r="D49" i="1"/>
  <c r="D17" i="1"/>
  <c r="P37" i="1"/>
  <c r="R79" i="1"/>
  <c r="P79" i="1"/>
  <c r="N79" i="1"/>
  <c r="L79" i="1"/>
  <c r="J79" i="1"/>
  <c r="R75" i="1"/>
  <c r="P75" i="1"/>
  <c r="N75" i="1"/>
  <c r="L75" i="1"/>
  <c r="J75" i="1"/>
  <c r="R71" i="1"/>
  <c r="P71" i="1"/>
  <c r="N71" i="1"/>
  <c r="L71" i="1"/>
  <c r="J71" i="1"/>
  <c r="R67" i="1"/>
  <c r="P67" i="1"/>
  <c r="N67" i="1"/>
  <c r="L67" i="1"/>
  <c r="D67" i="1"/>
  <c r="J67" i="1"/>
  <c r="R63" i="1"/>
  <c r="P63" i="1"/>
  <c r="N63" i="1"/>
  <c r="L63" i="1"/>
  <c r="D63" i="1"/>
  <c r="J63" i="1"/>
  <c r="R59" i="1"/>
  <c r="P59" i="1"/>
  <c r="N59" i="1"/>
  <c r="D59" i="1"/>
  <c r="J59" i="1"/>
  <c r="R55" i="1"/>
  <c r="P55" i="1"/>
  <c r="N55" i="1"/>
  <c r="L55" i="1"/>
  <c r="D55" i="1"/>
  <c r="J55" i="1"/>
  <c r="R51" i="1"/>
  <c r="P51" i="1"/>
  <c r="N51" i="1"/>
  <c r="D51" i="1"/>
  <c r="J51" i="1"/>
  <c r="R47" i="1"/>
  <c r="P47" i="1"/>
  <c r="N47" i="1"/>
  <c r="L47" i="1"/>
  <c r="D47" i="1"/>
  <c r="J47" i="1"/>
  <c r="R43" i="1"/>
  <c r="P43" i="1"/>
  <c r="N43" i="1"/>
  <c r="D43" i="1"/>
  <c r="J43" i="1"/>
  <c r="R39" i="1"/>
  <c r="P39" i="1"/>
  <c r="N39" i="1"/>
  <c r="L39" i="1"/>
  <c r="D39" i="1"/>
  <c r="J39" i="1"/>
  <c r="R35" i="1"/>
  <c r="P35" i="1"/>
  <c r="N35" i="1"/>
  <c r="D35" i="1"/>
  <c r="J35" i="1"/>
  <c r="R31" i="1"/>
  <c r="P31" i="1"/>
  <c r="N31" i="1"/>
  <c r="L31" i="1"/>
  <c r="D31" i="1"/>
  <c r="J31" i="1"/>
  <c r="R27" i="1"/>
  <c r="P27" i="1"/>
  <c r="N27" i="1"/>
  <c r="D27" i="1"/>
  <c r="J27" i="1"/>
  <c r="R23" i="1"/>
  <c r="P23" i="1"/>
  <c r="N23" i="1"/>
  <c r="L23" i="1"/>
  <c r="D23" i="1"/>
  <c r="J23" i="1"/>
  <c r="R19" i="1"/>
  <c r="P19" i="1"/>
  <c r="N19" i="1"/>
  <c r="D19" i="1"/>
  <c r="J19" i="1"/>
  <c r="R15" i="1"/>
  <c r="P15" i="1"/>
  <c r="N15" i="1"/>
  <c r="L15" i="1"/>
  <c r="D15" i="1"/>
  <c r="J15" i="1"/>
  <c r="P11" i="1"/>
  <c r="R11" i="1"/>
  <c r="N11" i="1"/>
  <c r="F11" i="1"/>
  <c r="D11" i="1"/>
  <c r="J11" i="1"/>
  <c r="P7" i="1"/>
  <c r="N7" i="1"/>
  <c r="F7" i="1"/>
  <c r="R7" i="1"/>
  <c r="L7" i="1"/>
  <c r="D7" i="1"/>
  <c r="J7" i="1"/>
  <c r="D3" i="1"/>
  <c r="T3" i="1" s="1"/>
  <c r="D76" i="1"/>
  <c r="D72" i="1"/>
  <c r="D68" i="1"/>
  <c r="D57" i="1"/>
  <c r="D52" i="1"/>
  <c r="D41" i="1"/>
  <c r="D36" i="1"/>
  <c r="D25" i="1"/>
  <c r="D20" i="1"/>
  <c r="D9" i="1"/>
  <c r="D4" i="1"/>
  <c r="F75" i="1"/>
  <c r="F63" i="1"/>
  <c r="F55" i="1"/>
  <c r="F47" i="1"/>
  <c r="F39" i="1"/>
  <c r="F31" i="1"/>
  <c r="F23" i="1"/>
  <c r="F15" i="1"/>
  <c r="H79" i="1"/>
  <c r="H63" i="1"/>
  <c r="H47" i="1"/>
  <c r="H31" i="1"/>
  <c r="H15" i="1"/>
  <c r="J76" i="1"/>
  <c r="J60" i="1"/>
  <c r="J44" i="1"/>
  <c r="J28" i="1"/>
  <c r="J12" i="1"/>
  <c r="L51" i="1"/>
  <c r="L19" i="1"/>
  <c r="N64" i="1"/>
  <c r="N32" i="1"/>
  <c r="P69" i="1"/>
  <c r="P5" i="1"/>
  <c r="R73" i="1"/>
  <c r="P73" i="1"/>
  <c r="N73" i="1"/>
  <c r="J73" i="1"/>
  <c r="H73" i="1"/>
  <c r="D33" i="1"/>
  <c r="P78" i="1"/>
  <c r="N78" i="1"/>
  <c r="L78" i="1"/>
  <c r="J78" i="1"/>
  <c r="R78" i="1"/>
  <c r="H78" i="1"/>
  <c r="P74" i="1"/>
  <c r="N74" i="1"/>
  <c r="L74" i="1"/>
  <c r="R74" i="1"/>
  <c r="J74" i="1"/>
  <c r="H74" i="1"/>
  <c r="P70" i="1"/>
  <c r="N70" i="1"/>
  <c r="R70" i="1"/>
  <c r="L70" i="1"/>
  <c r="J70" i="1"/>
  <c r="H70" i="1"/>
  <c r="P66" i="1"/>
  <c r="N66" i="1"/>
  <c r="L66" i="1"/>
  <c r="J66" i="1"/>
  <c r="H66" i="1"/>
  <c r="P62" i="1"/>
  <c r="N62" i="1"/>
  <c r="L62" i="1"/>
  <c r="J62" i="1"/>
  <c r="R62" i="1"/>
  <c r="H62" i="1"/>
  <c r="P58" i="1"/>
  <c r="N58" i="1"/>
  <c r="L58" i="1"/>
  <c r="R58" i="1"/>
  <c r="J58" i="1"/>
  <c r="H58" i="1"/>
  <c r="P54" i="1"/>
  <c r="N54" i="1"/>
  <c r="L54" i="1"/>
  <c r="R54" i="1"/>
  <c r="J54" i="1"/>
  <c r="H54" i="1"/>
  <c r="P50" i="1"/>
  <c r="N50" i="1"/>
  <c r="L50" i="1"/>
  <c r="J50" i="1"/>
  <c r="H50" i="1"/>
  <c r="P46" i="1"/>
  <c r="N46" i="1"/>
  <c r="L46" i="1"/>
  <c r="J46" i="1"/>
  <c r="H46" i="1"/>
  <c r="P42" i="1"/>
  <c r="N42" i="1"/>
  <c r="L42" i="1"/>
  <c r="R42" i="1"/>
  <c r="J42" i="1"/>
  <c r="H42" i="1"/>
  <c r="P38" i="1"/>
  <c r="N38" i="1"/>
  <c r="L38" i="1"/>
  <c r="J38" i="1"/>
  <c r="H38" i="1"/>
  <c r="P34" i="1"/>
  <c r="N34" i="1"/>
  <c r="L34" i="1"/>
  <c r="J34" i="1"/>
  <c r="H34" i="1"/>
  <c r="P30" i="1"/>
  <c r="N30" i="1"/>
  <c r="L30" i="1"/>
  <c r="J30" i="1"/>
  <c r="H30" i="1"/>
  <c r="P26" i="1"/>
  <c r="N26" i="1"/>
  <c r="L26" i="1"/>
  <c r="J26" i="1"/>
  <c r="H26" i="1"/>
  <c r="P22" i="1"/>
  <c r="N22" i="1"/>
  <c r="L22" i="1"/>
  <c r="J22" i="1"/>
  <c r="H22" i="1"/>
  <c r="P18" i="1"/>
  <c r="N18" i="1"/>
  <c r="L18" i="1"/>
  <c r="J18" i="1"/>
  <c r="H18" i="1"/>
  <c r="P14" i="1"/>
  <c r="N14" i="1"/>
  <c r="L14" i="1"/>
  <c r="J14" i="1"/>
  <c r="H14" i="1"/>
  <c r="R10" i="1"/>
  <c r="P10" i="1"/>
  <c r="N10" i="1"/>
  <c r="L10" i="1"/>
  <c r="J10" i="1"/>
  <c r="H10" i="1"/>
  <c r="P6" i="1"/>
  <c r="N6" i="1"/>
  <c r="L6" i="1"/>
  <c r="J6" i="1"/>
  <c r="H6" i="1"/>
  <c r="D79" i="1"/>
  <c r="D75" i="1"/>
  <c r="D71" i="1"/>
  <c r="D66" i="1"/>
  <c r="D61" i="1"/>
  <c r="D56" i="1"/>
  <c r="D50" i="1"/>
  <c r="D45" i="1"/>
  <c r="D40" i="1"/>
  <c r="D34" i="1"/>
  <c r="D29" i="1"/>
  <c r="D24" i="1"/>
  <c r="D18" i="1"/>
  <c r="D13" i="1"/>
  <c r="D8" i="1"/>
  <c r="F79" i="1"/>
  <c r="F74" i="1"/>
  <c r="F69" i="1"/>
  <c r="F62" i="1"/>
  <c r="F54" i="1"/>
  <c r="F46" i="1"/>
  <c r="F38" i="1"/>
  <c r="F30" i="1"/>
  <c r="F22" i="1"/>
  <c r="F14" i="1"/>
  <c r="H75" i="1"/>
  <c r="H59" i="1"/>
  <c r="H43" i="1"/>
  <c r="H27" i="1"/>
  <c r="H11" i="1"/>
  <c r="J72" i="1"/>
  <c r="J56" i="1"/>
  <c r="J40" i="1"/>
  <c r="J24" i="1"/>
  <c r="J8" i="1"/>
  <c r="L69" i="1"/>
  <c r="L43" i="1"/>
  <c r="L11" i="1"/>
  <c r="N56" i="1"/>
  <c r="N24" i="1"/>
  <c r="P53" i="1"/>
  <c r="R66" i="1"/>
  <c r="H80" i="1"/>
  <c r="P80" i="1"/>
  <c r="R6" i="1"/>
  <c r="R14" i="1"/>
  <c r="R18" i="1"/>
  <c r="R22" i="1"/>
  <c r="R26" i="1"/>
  <c r="R30" i="1"/>
  <c r="R34" i="1"/>
  <c r="R38" i="1"/>
  <c r="R46" i="1"/>
  <c r="R50" i="1"/>
  <c r="R5" i="1"/>
  <c r="R13" i="1"/>
  <c r="R17" i="1"/>
  <c r="R21" i="1"/>
  <c r="R25" i="1"/>
  <c r="R33" i="1"/>
  <c r="R37" i="1"/>
  <c r="R45" i="1"/>
  <c r="R49" i="1"/>
  <c r="R24" i="1"/>
  <c r="R28" i="1"/>
  <c r="R32" i="1"/>
  <c r="R40" i="1"/>
  <c r="R44" i="1"/>
  <c r="R48" i="1"/>
  <c r="R52" i="1"/>
  <c r="D141" i="3"/>
  <c r="D133" i="3"/>
  <c r="D125" i="3"/>
  <c r="D117" i="3"/>
  <c r="D109" i="3"/>
  <c r="D101" i="3"/>
  <c r="D93" i="3"/>
  <c r="D85" i="3"/>
  <c r="D77" i="3"/>
  <c r="D69" i="3"/>
  <c r="D61" i="3"/>
  <c r="D53" i="3"/>
  <c r="D45" i="3"/>
  <c r="D37" i="3"/>
  <c r="D29" i="3"/>
  <c r="D21" i="3"/>
  <c r="D13" i="3"/>
  <c r="D5" i="3"/>
  <c r="H139" i="3"/>
  <c r="H131" i="3"/>
  <c r="H123" i="3"/>
  <c r="H115" i="3"/>
  <c r="H107" i="3"/>
  <c r="H99" i="3"/>
  <c r="H91" i="3"/>
  <c r="H83" i="3"/>
  <c r="H75" i="3"/>
  <c r="H67" i="3"/>
  <c r="H59" i="3"/>
  <c r="H51" i="3"/>
  <c r="H43" i="3"/>
  <c r="H35" i="3"/>
  <c r="H27" i="3"/>
  <c r="H19" i="3"/>
  <c r="H11" i="3"/>
  <c r="H145" i="3"/>
  <c r="H137" i="3"/>
  <c r="H129" i="3"/>
  <c r="H121" i="3"/>
  <c r="H113" i="3"/>
  <c r="H105" i="3"/>
  <c r="H97" i="3"/>
  <c r="H89" i="3"/>
  <c r="H81" i="3"/>
  <c r="H73" i="3"/>
  <c r="H65" i="3"/>
  <c r="H57" i="3"/>
  <c r="H49" i="3"/>
  <c r="H41" i="3"/>
  <c r="H33" i="3"/>
  <c r="H25" i="3"/>
  <c r="H17" i="3"/>
  <c r="H9" i="3"/>
  <c r="D145" i="3"/>
  <c r="D137" i="3"/>
  <c r="D129" i="3"/>
  <c r="D121" i="3"/>
  <c r="D113" i="3"/>
  <c r="D105" i="3"/>
  <c r="D97" i="3"/>
  <c r="D89" i="3"/>
  <c r="D81" i="3"/>
  <c r="D73" i="3"/>
  <c r="D65" i="3"/>
  <c r="D57" i="3"/>
  <c r="D49" i="3"/>
  <c r="D41" i="3"/>
  <c r="D33" i="3"/>
  <c r="D25" i="3"/>
  <c r="D17" i="3"/>
  <c r="D9" i="3"/>
  <c r="X269" i="3"/>
  <c r="T269" i="3"/>
  <c r="V269" i="3"/>
  <c r="R269" i="3"/>
  <c r="N269" i="3"/>
  <c r="L269" i="3"/>
  <c r="J269" i="3"/>
  <c r="P269" i="3"/>
  <c r="F269" i="3"/>
  <c r="X261" i="3"/>
  <c r="V261" i="3"/>
  <c r="T261" i="3"/>
  <c r="R261" i="3"/>
  <c r="P261" i="3"/>
  <c r="L261" i="3"/>
  <c r="N261" i="3"/>
  <c r="J261" i="3"/>
  <c r="F261" i="3"/>
  <c r="X253" i="3"/>
  <c r="T253" i="3"/>
  <c r="V253" i="3"/>
  <c r="R253" i="3"/>
  <c r="N253" i="3"/>
  <c r="L253" i="3"/>
  <c r="J253" i="3"/>
  <c r="P253" i="3"/>
  <c r="F253" i="3"/>
  <c r="X245" i="3"/>
  <c r="V245" i="3"/>
  <c r="T245" i="3"/>
  <c r="R245" i="3"/>
  <c r="N245" i="3"/>
  <c r="P245" i="3"/>
  <c r="L245" i="3"/>
  <c r="J245" i="3"/>
  <c r="F245" i="3"/>
  <c r="X229" i="3"/>
  <c r="V229" i="3"/>
  <c r="T229" i="3"/>
  <c r="R229" i="3"/>
  <c r="N229" i="3"/>
  <c r="P229" i="3"/>
  <c r="L229" i="3"/>
  <c r="J229" i="3"/>
  <c r="F229" i="3"/>
  <c r="X221" i="3"/>
  <c r="T221" i="3"/>
  <c r="V221" i="3"/>
  <c r="R221" i="3"/>
  <c r="N221" i="3"/>
  <c r="L221" i="3"/>
  <c r="J221" i="3"/>
  <c r="P221" i="3"/>
  <c r="F221" i="3"/>
  <c r="X213" i="3"/>
  <c r="V213" i="3"/>
  <c r="T213" i="3"/>
  <c r="R213" i="3"/>
  <c r="N213" i="3"/>
  <c r="P213" i="3"/>
  <c r="L213" i="3"/>
  <c r="J213" i="3"/>
  <c r="F213" i="3"/>
  <c r="X205" i="3"/>
  <c r="T205" i="3"/>
  <c r="V205" i="3"/>
  <c r="R205" i="3"/>
  <c r="N205" i="3"/>
  <c r="L205" i="3"/>
  <c r="J205" i="3"/>
  <c r="P205" i="3"/>
  <c r="F205" i="3"/>
  <c r="X197" i="3"/>
  <c r="V197" i="3"/>
  <c r="T197" i="3"/>
  <c r="R197" i="3"/>
  <c r="N197" i="3"/>
  <c r="P197" i="3"/>
  <c r="L197" i="3"/>
  <c r="J197" i="3"/>
  <c r="F197" i="3"/>
  <c r="X189" i="3"/>
  <c r="T189" i="3"/>
  <c r="V189" i="3"/>
  <c r="R189" i="3"/>
  <c r="N189" i="3"/>
  <c r="L189" i="3"/>
  <c r="J189" i="3"/>
  <c r="P189" i="3"/>
  <c r="F189" i="3"/>
  <c r="X177" i="3"/>
  <c r="T177" i="3"/>
  <c r="V177" i="3"/>
  <c r="R177" i="3"/>
  <c r="N177" i="3"/>
  <c r="J177" i="3"/>
  <c r="L177" i="3"/>
  <c r="P177" i="3"/>
  <c r="F177" i="3"/>
  <c r="D271" i="3"/>
  <c r="D263" i="3"/>
  <c r="D255" i="3"/>
  <c r="D247" i="3"/>
  <c r="D239" i="3"/>
  <c r="D231" i="3"/>
  <c r="D223" i="3"/>
  <c r="D215" i="3"/>
  <c r="D207" i="3"/>
  <c r="D199" i="3"/>
  <c r="D191" i="3"/>
  <c r="D183" i="3"/>
  <c r="D175" i="3"/>
  <c r="D167" i="3"/>
  <c r="D159" i="3"/>
  <c r="D151" i="3"/>
  <c r="F264" i="3"/>
  <c r="F256" i="3"/>
  <c r="F248" i="3"/>
  <c r="F240" i="3"/>
  <c r="H177" i="3"/>
  <c r="X237" i="3"/>
  <c r="T237" i="3"/>
  <c r="V237" i="3"/>
  <c r="R237" i="3"/>
  <c r="N237" i="3"/>
  <c r="L237" i="3"/>
  <c r="J237" i="3"/>
  <c r="P237" i="3"/>
  <c r="F237" i="3"/>
  <c r="X272" i="3"/>
  <c r="V272" i="3"/>
  <c r="R272" i="3"/>
  <c r="T272" i="3"/>
  <c r="P272" i="3"/>
  <c r="L272" i="3"/>
  <c r="N272" i="3"/>
  <c r="H272" i="3"/>
  <c r="D272" i="3"/>
  <c r="V260" i="3"/>
  <c r="X260" i="3"/>
  <c r="T260" i="3"/>
  <c r="R260" i="3"/>
  <c r="P260" i="3"/>
  <c r="L260" i="3"/>
  <c r="N260" i="3"/>
  <c r="H260" i="3"/>
  <c r="D260" i="3"/>
  <c r="X252" i="3"/>
  <c r="V252" i="3"/>
  <c r="T252" i="3"/>
  <c r="R252" i="3"/>
  <c r="P252" i="3"/>
  <c r="L252" i="3"/>
  <c r="H252" i="3"/>
  <c r="N252" i="3"/>
  <c r="D252" i="3"/>
  <c r="V244" i="3"/>
  <c r="X244" i="3"/>
  <c r="T244" i="3"/>
  <c r="R244" i="3"/>
  <c r="P244" i="3"/>
  <c r="L244" i="3"/>
  <c r="N244" i="3"/>
  <c r="H244" i="3"/>
  <c r="D244" i="3"/>
  <c r="X232" i="3"/>
  <c r="V232" i="3"/>
  <c r="R232" i="3"/>
  <c r="T232" i="3"/>
  <c r="P232" i="3"/>
  <c r="L232" i="3"/>
  <c r="J232" i="3"/>
  <c r="N232" i="3"/>
  <c r="H232" i="3"/>
  <c r="D232" i="3"/>
  <c r="X224" i="3"/>
  <c r="V224" i="3"/>
  <c r="T224" i="3"/>
  <c r="R224" i="3"/>
  <c r="P224" i="3"/>
  <c r="L224" i="3"/>
  <c r="J224" i="3"/>
  <c r="H224" i="3"/>
  <c r="N224" i="3"/>
  <c r="D224" i="3"/>
  <c r="X216" i="3"/>
  <c r="V216" i="3"/>
  <c r="T216" i="3"/>
  <c r="R216" i="3"/>
  <c r="P216" i="3"/>
  <c r="L216" i="3"/>
  <c r="J216" i="3"/>
  <c r="N216" i="3"/>
  <c r="H216" i="3"/>
  <c r="D216" i="3"/>
  <c r="X208" i="3"/>
  <c r="V208" i="3"/>
  <c r="R208" i="3"/>
  <c r="T208" i="3"/>
  <c r="P208" i="3"/>
  <c r="L208" i="3"/>
  <c r="J208" i="3"/>
  <c r="H208" i="3"/>
  <c r="N208" i="3"/>
  <c r="D208" i="3"/>
  <c r="X200" i="3"/>
  <c r="V200" i="3"/>
  <c r="R200" i="3"/>
  <c r="T200" i="3"/>
  <c r="P200" i="3"/>
  <c r="L200" i="3"/>
  <c r="J200" i="3"/>
  <c r="N200" i="3"/>
  <c r="H200" i="3"/>
  <c r="D200" i="3"/>
  <c r="X188" i="3"/>
  <c r="V188" i="3"/>
  <c r="T188" i="3"/>
  <c r="R188" i="3"/>
  <c r="P188" i="3"/>
  <c r="L188" i="3"/>
  <c r="J188" i="3"/>
  <c r="H188" i="3"/>
  <c r="N188" i="3"/>
  <c r="D188" i="3"/>
  <c r="V180" i="3"/>
  <c r="X180" i="3"/>
  <c r="T180" i="3"/>
  <c r="R180" i="3"/>
  <c r="P180" i="3"/>
  <c r="L180" i="3"/>
  <c r="N180" i="3"/>
  <c r="J180" i="3"/>
  <c r="H180" i="3"/>
  <c r="D180" i="3"/>
  <c r="X172" i="3"/>
  <c r="V172" i="3"/>
  <c r="T172" i="3"/>
  <c r="R172" i="3"/>
  <c r="P172" i="3"/>
  <c r="L172" i="3"/>
  <c r="J172" i="3"/>
  <c r="H172" i="3"/>
  <c r="N172" i="3"/>
  <c r="D172" i="3"/>
  <c r="V164" i="3"/>
  <c r="X164" i="3"/>
  <c r="T164" i="3"/>
  <c r="R164" i="3"/>
  <c r="P164" i="3"/>
  <c r="L164" i="3"/>
  <c r="N164" i="3"/>
  <c r="J164" i="3"/>
  <c r="H164" i="3"/>
  <c r="D164" i="3"/>
  <c r="X152" i="3"/>
  <c r="V152" i="3"/>
  <c r="T152" i="3"/>
  <c r="R152" i="3"/>
  <c r="P152" i="3"/>
  <c r="L152" i="3"/>
  <c r="J152" i="3"/>
  <c r="N152" i="3"/>
  <c r="H152" i="3"/>
  <c r="D152" i="3"/>
  <c r="X140" i="3"/>
  <c r="V140" i="3"/>
  <c r="T140" i="3"/>
  <c r="R140" i="3"/>
  <c r="P140" i="3"/>
  <c r="L140" i="3"/>
  <c r="J140" i="3"/>
  <c r="H140" i="3"/>
  <c r="N140" i="3"/>
  <c r="D140" i="3"/>
  <c r="V132" i="3"/>
  <c r="X132" i="3"/>
  <c r="T132" i="3"/>
  <c r="R132" i="3"/>
  <c r="P132" i="3"/>
  <c r="L132" i="3"/>
  <c r="N132" i="3"/>
  <c r="J132" i="3"/>
  <c r="H132" i="3"/>
  <c r="D132" i="3"/>
  <c r="X124" i="3"/>
  <c r="V124" i="3"/>
  <c r="T124" i="3"/>
  <c r="R124" i="3"/>
  <c r="P124" i="3"/>
  <c r="L124" i="3"/>
  <c r="J124" i="3"/>
  <c r="H124" i="3"/>
  <c r="N124" i="3"/>
  <c r="D124" i="3"/>
  <c r="V116" i="3"/>
  <c r="X116" i="3"/>
  <c r="T116" i="3"/>
  <c r="R116" i="3"/>
  <c r="P116" i="3"/>
  <c r="L116" i="3"/>
  <c r="N116" i="3"/>
  <c r="J116" i="3"/>
  <c r="H116" i="3"/>
  <c r="D116" i="3"/>
  <c r="X108" i="3"/>
  <c r="V108" i="3"/>
  <c r="T108" i="3"/>
  <c r="R108" i="3"/>
  <c r="P108" i="3"/>
  <c r="L108" i="3"/>
  <c r="J108" i="3"/>
  <c r="H108" i="3"/>
  <c r="N108" i="3"/>
  <c r="D108" i="3"/>
  <c r="V100" i="3"/>
  <c r="X100" i="3"/>
  <c r="T100" i="3"/>
  <c r="R100" i="3"/>
  <c r="P100" i="3"/>
  <c r="L100" i="3"/>
  <c r="N100" i="3"/>
  <c r="J100" i="3"/>
  <c r="H100" i="3"/>
  <c r="D100" i="3"/>
  <c r="X92" i="3"/>
  <c r="V92" i="3"/>
  <c r="T92" i="3"/>
  <c r="R92" i="3"/>
  <c r="P92" i="3"/>
  <c r="L92" i="3"/>
  <c r="J92" i="3"/>
  <c r="H92" i="3"/>
  <c r="N92" i="3"/>
  <c r="D92" i="3"/>
  <c r="V84" i="3"/>
  <c r="X84" i="3"/>
  <c r="T84" i="3"/>
  <c r="R84" i="3"/>
  <c r="P84" i="3"/>
  <c r="L84" i="3"/>
  <c r="N84" i="3"/>
  <c r="J84" i="3"/>
  <c r="H84" i="3"/>
  <c r="D84" i="3"/>
  <c r="X76" i="3"/>
  <c r="V76" i="3"/>
  <c r="T76" i="3"/>
  <c r="R76" i="3"/>
  <c r="P76" i="3"/>
  <c r="L76" i="3"/>
  <c r="J76" i="3"/>
  <c r="H76" i="3"/>
  <c r="N76" i="3"/>
  <c r="D76" i="3"/>
  <c r="V68" i="3"/>
  <c r="X68" i="3"/>
  <c r="T68" i="3"/>
  <c r="R68" i="3"/>
  <c r="P68" i="3"/>
  <c r="L68" i="3"/>
  <c r="N68" i="3"/>
  <c r="J68" i="3"/>
  <c r="H68" i="3"/>
  <c r="D68" i="3"/>
  <c r="V60" i="3"/>
  <c r="X60" i="3"/>
  <c r="T60" i="3"/>
  <c r="R60" i="3"/>
  <c r="P60" i="3"/>
  <c r="L60" i="3"/>
  <c r="J60" i="3"/>
  <c r="H60" i="3"/>
  <c r="N60" i="3"/>
  <c r="D60" i="3"/>
  <c r="V52" i="3"/>
  <c r="T52" i="3"/>
  <c r="X52" i="3"/>
  <c r="R52" i="3"/>
  <c r="P52" i="3"/>
  <c r="L52" i="3"/>
  <c r="N52" i="3"/>
  <c r="J52" i="3"/>
  <c r="H52" i="3"/>
  <c r="D52" i="3"/>
  <c r="V48" i="3"/>
  <c r="X48" i="3"/>
  <c r="T48" i="3"/>
  <c r="R48" i="3"/>
  <c r="P48" i="3"/>
  <c r="L48" i="3"/>
  <c r="H48" i="3"/>
  <c r="J48" i="3"/>
  <c r="N48" i="3"/>
  <c r="D48" i="3"/>
  <c r="V40" i="3"/>
  <c r="X40" i="3"/>
  <c r="T40" i="3"/>
  <c r="R40" i="3"/>
  <c r="P40" i="3"/>
  <c r="L40" i="3"/>
  <c r="N40" i="3"/>
  <c r="H40" i="3"/>
  <c r="J40" i="3"/>
  <c r="D40" i="3"/>
  <c r="V36" i="3"/>
  <c r="T36" i="3"/>
  <c r="X36" i="3"/>
  <c r="R36" i="3"/>
  <c r="P36" i="3"/>
  <c r="L36" i="3"/>
  <c r="N36" i="3"/>
  <c r="J36" i="3"/>
  <c r="H36" i="3"/>
  <c r="D36" i="3"/>
  <c r="V32" i="3"/>
  <c r="X32" i="3"/>
  <c r="T32" i="3"/>
  <c r="P32" i="3"/>
  <c r="R32" i="3"/>
  <c r="L32" i="3"/>
  <c r="H32" i="3"/>
  <c r="J32" i="3"/>
  <c r="N32" i="3"/>
  <c r="D32" i="3"/>
  <c r="V28" i="3"/>
  <c r="X28" i="3"/>
  <c r="T28" i="3"/>
  <c r="R28" i="3"/>
  <c r="P28" i="3"/>
  <c r="L28" i="3"/>
  <c r="J28" i="3"/>
  <c r="H28" i="3"/>
  <c r="N28" i="3"/>
  <c r="D28" i="3"/>
  <c r="V20" i="3"/>
  <c r="X20" i="3"/>
  <c r="T20" i="3"/>
  <c r="R20" i="3"/>
  <c r="P20" i="3"/>
  <c r="L20" i="3"/>
  <c r="N20" i="3"/>
  <c r="J20" i="3"/>
  <c r="H20" i="3"/>
  <c r="D20" i="3"/>
  <c r="V16" i="3"/>
  <c r="X16" i="3"/>
  <c r="T16" i="3"/>
  <c r="P16" i="3"/>
  <c r="R16" i="3"/>
  <c r="L16" i="3"/>
  <c r="H16" i="3"/>
  <c r="J16" i="3"/>
  <c r="N16" i="3"/>
  <c r="D16" i="3"/>
  <c r="V12" i="3"/>
  <c r="X12" i="3"/>
  <c r="T12" i="3"/>
  <c r="R12" i="3"/>
  <c r="P12" i="3"/>
  <c r="L12" i="3"/>
  <c r="J12" i="3"/>
  <c r="H12" i="3"/>
  <c r="N12" i="3"/>
  <c r="D12" i="3"/>
  <c r="V8" i="3"/>
  <c r="X8" i="3"/>
  <c r="T8" i="3"/>
  <c r="P8" i="3"/>
  <c r="R8" i="3"/>
  <c r="L8" i="3"/>
  <c r="N8" i="3"/>
  <c r="H8" i="3"/>
  <c r="J8" i="3"/>
  <c r="D8" i="3"/>
  <c r="V4" i="3"/>
  <c r="T4" i="3"/>
  <c r="R4" i="3"/>
  <c r="X4" i="3"/>
  <c r="P4" i="3"/>
  <c r="L4" i="3"/>
  <c r="N4" i="3"/>
  <c r="J4" i="3"/>
  <c r="H4" i="3"/>
  <c r="D4" i="3"/>
  <c r="D269" i="3"/>
  <c r="D261" i="3"/>
  <c r="D253" i="3"/>
  <c r="D245" i="3"/>
  <c r="D237" i="3"/>
  <c r="D229" i="3"/>
  <c r="D221" i="3"/>
  <c r="D213" i="3"/>
  <c r="D205" i="3"/>
  <c r="D197" i="3"/>
  <c r="D189" i="3"/>
  <c r="F270" i="3"/>
  <c r="F262" i="3"/>
  <c r="F254" i="3"/>
  <c r="F246" i="3"/>
  <c r="F238" i="3"/>
  <c r="J272" i="3"/>
  <c r="X273" i="3"/>
  <c r="T273" i="3"/>
  <c r="V273" i="3"/>
  <c r="R273" i="3"/>
  <c r="N273" i="3"/>
  <c r="J273" i="3"/>
  <c r="L273" i="3"/>
  <c r="P273" i="3"/>
  <c r="F273" i="3"/>
  <c r="X265" i="3"/>
  <c r="T265" i="3"/>
  <c r="V265" i="3"/>
  <c r="R265" i="3"/>
  <c r="N265" i="3"/>
  <c r="P265" i="3"/>
  <c r="J265" i="3"/>
  <c r="L265" i="3"/>
  <c r="F265" i="3"/>
  <c r="X257" i="3"/>
  <c r="T257" i="3"/>
  <c r="V257" i="3"/>
  <c r="R257" i="3"/>
  <c r="N257" i="3"/>
  <c r="J257" i="3"/>
  <c r="L257" i="3"/>
  <c r="P257" i="3"/>
  <c r="F257" i="3"/>
  <c r="X249" i="3"/>
  <c r="T249" i="3"/>
  <c r="V249" i="3"/>
  <c r="R249" i="3"/>
  <c r="N249" i="3"/>
  <c r="P249" i="3"/>
  <c r="J249" i="3"/>
  <c r="L249" i="3"/>
  <c r="F249" i="3"/>
  <c r="X233" i="3"/>
  <c r="T233" i="3"/>
  <c r="V233" i="3"/>
  <c r="R233" i="3"/>
  <c r="N233" i="3"/>
  <c r="P233" i="3"/>
  <c r="J233" i="3"/>
  <c r="L233" i="3"/>
  <c r="F233" i="3"/>
  <c r="X225" i="3"/>
  <c r="T225" i="3"/>
  <c r="V225" i="3"/>
  <c r="R225" i="3"/>
  <c r="N225" i="3"/>
  <c r="J225" i="3"/>
  <c r="L225" i="3"/>
  <c r="P225" i="3"/>
  <c r="F225" i="3"/>
  <c r="X217" i="3"/>
  <c r="T217" i="3"/>
  <c r="V217" i="3"/>
  <c r="R217" i="3"/>
  <c r="N217" i="3"/>
  <c r="P217" i="3"/>
  <c r="J217" i="3"/>
  <c r="L217" i="3"/>
  <c r="F217" i="3"/>
  <c r="X209" i="3"/>
  <c r="T209" i="3"/>
  <c r="V209" i="3"/>
  <c r="R209" i="3"/>
  <c r="N209" i="3"/>
  <c r="J209" i="3"/>
  <c r="L209" i="3"/>
  <c r="P209" i="3"/>
  <c r="F209" i="3"/>
  <c r="X201" i="3"/>
  <c r="T201" i="3"/>
  <c r="V201" i="3"/>
  <c r="R201" i="3"/>
  <c r="N201" i="3"/>
  <c r="P201" i="3"/>
  <c r="J201" i="3"/>
  <c r="L201" i="3"/>
  <c r="F201" i="3"/>
  <c r="X193" i="3"/>
  <c r="T193" i="3"/>
  <c r="V193" i="3"/>
  <c r="R193" i="3"/>
  <c r="N193" i="3"/>
  <c r="J193" i="3"/>
  <c r="L193" i="3"/>
  <c r="P193" i="3"/>
  <c r="F193" i="3"/>
  <c r="X185" i="3"/>
  <c r="T185" i="3"/>
  <c r="V185" i="3"/>
  <c r="R185" i="3"/>
  <c r="N185" i="3"/>
  <c r="P185" i="3"/>
  <c r="J185" i="3"/>
  <c r="L185" i="3"/>
  <c r="F185" i="3"/>
  <c r="X181" i="3"/>
  <c r="V181" i="3"/>
  <c r="T181" i="3"/>
  <c r="R181" i="3"/>
  <c r="N181" i="3"/>
  <c r="P181" i="3"/>
  <c r="L181" i="3"/>
  <c r="J181" i="3"/>
  <c r="F181" i="3"/>
  <c r="X173" i="3"/>
  <c r="T173" i="3"/>
  <c r="V173" i="3"/>
  <c r="R173" i="3"/>
  <c r="N173" i="3"/>
  <c r="L173" i="3"/>
  <c r="J173" i="3"/>
  <c r="P173" i="3"/>
  <c r="F173" i="3"/>
  <c r="X169" i="3"/>
  <c r="T169" i="3"/>
  <c r="V169" i="3"/>
  <c r="R169" i="3"/>
  <c r="N169" i="3"/>
  <c r="P169" i="3"/>
  <c r="J169" i="3"/>
  <c r="L169" i="3"/>
  <c r="F169" i="3"/>
  <c r="X165" i="3"/>
  <c r="V165" i="3"/>
  <c r="T165" i="3"/>
  <c r="R165" i="3"/>
  <c r="N165" i="3"/>
  <c r="P165" i="3"/>
  <c r="L165" i="3"/>
  <c r="J165" i="3"/>
  <c r="F165" i="3"/>
  <c r="X161" i="3"/>
  <c r="T161" i="3"/>
  <c r="V161" i="3"/>
  <c r="R161" i="3"/>
  <c r="N161" i="3"/>
  <c r="J161" i="3"/>
  <c r="L161" i="3"/>
  <c r="P161" i="3"/>
  <c r="F161" i="3"/>
  <c r="X157" i="3"/>
  <c r="T157" i="3"/>
  <c r="V157" i="3"/>
  <c r="R157" i="3"/>
  <c r="N157" i="3"/>
  <c r="L157" i="3"/>
  <c r="J157" i="3"/>
  <c r="P157" i="3"/>
  <c r="F157" i="3"/>
  <c r="X153" i="3"/>
  <c r="T153" i="3"/>
  <c r="V153" i="3"/>
  <c r="R153" i="3"/>
  <c r="N153" i="3"/>
  <c r="P153" i="3"/>
  <c r="J153" i="3"/>
  <c r="L153" i="3"/>
  <c r="F153" i="3"/>
  <c r="X149" i="3"/>
  <c r="V149" i="3"/>
  <c r="T149" i="3"/>
  <c r="R149" i="3"/>
  <c r="N149" i="3"/>
  <c r="P149" i="3"/>
  <c r="L149" i="3"/>
  <c r="J149" i="3"/>
  <c r="F149" i="3"/>
  <c r="V3" i="3"/>
  <c r="X3" i="3"/>
  <c r="T3" i="3"/>
  <c r="R3" i="3"/>
  <c r="P3" i="3"/>
  <c r="L3" i="3"/>
  <c r="H3" i="3"/>
  <c r="N3" i="3"/>
  <c r="D3" i="3"/>
  <c r="X268" i="3"/>
  <c r="V268" i="3"/>
  <c r="T268" i="3"/>
  <c r="R268" i="3"/>
  <c r="P268" i="3"/>
  <c r="N268" i="3"/>
  <c r="L268" i="3"/>
  <c r="H268" i="3"/>
  <c r="D268" i="3"/>
  <c r="X264" i="3"/>
  <c r="V264" i="3"/>
  <c r="R264" i="3"/>
  <c r="T264" i="3"/>
  <c r="P264" i="3"/>
  <c r="L264" i="3"/>
  <c r="H264" i="3"/>
  <c r="N264" i="3"/>
  <c r="D264" i="3"/>
  <c r="X256" i="3"/>
  <c r="V256" i="3"/>
  <c r="T256" i="3"/>
  <c r="R256" i="3"/>
  <c r="P256" i="3"/>
  <c r="L256" i="3"/>
  <c r="H256" i="3"/>
  <c r="N256" i="3"/>
  <c r="D256" i="3"/>
  <c r="X248" i="3"/>
  <c r="V248" i="3"/>
  <c r="T248" i="3"/>
  <c r="R248" i="3"/>
  <c r="P248" i="3"/>
  <c r="L248" i="3"/>
  <c r="N248" i="3"/>
  <c r="H248" i="3"/>
  <c r="D248" i="3"/>
  <c r="X240" i="3"/>
  <c r="V240" i="3"/>
  <c r="R240" i="3"/>
  <c r="T240" i="3"/>
  <c r="P240" i="3"/>
  <c r="L240" i="3"/>
  <c r="H240" i="3"/>
  <c r="N240" i="3"/>
  <c r="D240" i="3"/>
  <c r="X236" i="3"/>
  <c r="V236" i="3"/>
  <c r="T236" i="3"/>
  <c r="R236" i="3"/>
  <c r="P236" i="3"/>
  <c r="L236" i="3"/>
  <c r="H236" i="3"/>
  <c r="N236" i="3"/>
  <c r="D236" i="3"/>
  <c r="V228" i="3"/>
  <c r="X228" i="3"/>
  <c r="T228" i="3"/>
  <c r="R228" i="3"/>
  <c r="P228" i="3"/>
  <c r="L228" i="3"/>
  <c r="N228" i="3"/>
  <c r="J228" i="3"/>
  <c r="H228" i="3"/>
  <c r="D228" i="3"/>
  <c r="X220" i="3"/>
  <c r="V220" i="3"/>
  <c r="T220" i="3"/>
  <c r="R220" i="3"/>
  <c r="P220" i="3"/>
  <c r="L220" i="3"/>
  <c r="J220" i="3"/>
  <c r="H220" i="3"/>
  <c r="N220" i="3"/>
  <c r="D220" i="3"/>
  <c r="V212" i="3"/>
  <c r="X212" i="3"/>
  <c r="T212" i="3"/>
  <c r="R212" i="3"/>
  <c r="P212" i="3"/>
  <c r="L212" i="3"/>
  <c r="N212" i="3"/>
  <c r="J212" i="3"/>
  <c r="H212" i="3"/>
  <c r="D212" i="3"/>
  <c r="X204" i="3"/>
  <c r="V204" i="3"/>
  <c r="T204" i="3"/>
  <c r="R204" i="3"/>
  <c r="P204" i="3"/>
  <c r="L204" i="3"/>
  <c r="J204" i="3"/>
  <c r="H204" i="3"/>
  <c r="N204" i="3"/>
  <c r="D204" i="3"/>
  <c r="V196" i="3"/>
  <c r="X196" i="3"/>
  <c r="T196" i="3"/>
  <c r="R196" i="3"/>
  <c r="P196" i="3"/>
  <c r="L196" i="3"/>
  <c r="N196" i="3"/>
  <c r="J196" i="3"/>
  <c r="H196" i="3"/>
  <c r="D196" i="3"/>
  <c r="X192" i="3"/>
  <c r="V192" i="3"/>
  <c r="T192" i="3"/>
  <c r="R192" i="3"/>
  <c r="P192" i="3"/>
  <c r="L192" i="3"/>
  <c r="J192" i="3"/>
  <c r="H192" i="3"/>
  <c r="N192" i="3"/>
  <c r="D192" i="3"/>
  <c r="X184" i="3"/>
  <c r="V184" i="3"/>
  <c r="T184" i="3"/>
  <c r="R184" i="3"/>
  <c r="P184" i="3"/>
  <c r="L184" i="3"/>
  <c r="J184" i="3"/>
  <c r="N184" i="3"/>
  <c r="H184" i="3"/>
  <c r="D184" i="3"/>
  <c r="X176" i="3"/>
  <c r="V176" i="3"/>
  <c r="R176" i="3"/>
  <c r="T176" i="3"/>
  <c r="P176" i="3"/>
  <c r="L176" i="3"/>
  <c r="J176" i="3"/>
  <c r="H176" i="3"/>
  <c r="N176" i="3"/>
  <c r="D176" i="3"/>
  <c r="X168" i="3"/>
  <c r="V168" i="3"/>
  <c r="R168" i="3"/>
  <c r="T168" i="3"/>
  <c r="P168" i="3"/>
  <c r="L168" i="3"/>
  <c r="J168" i="3"/>
  <c r="N168" i="3"/>
  <c r="H168" i="3"/>
  <c r="D168" i="3"/>
  <c r="X160" i="3"/>
  <c r="V160" i="3"/>
  <c r="T160" i="3"/>
  <c r="R160" i="3"/>
  <c r="P160" i="3"/>
  <c r="L160" i="3"/>
  <c r="J160" i="3"/>
  <c r="H160" i="3"/>
  <c r="N160" i="3"/>
  <c r="D160" i="3"/>
  <c r="X156" i="3"/>
  <c r="V156" i="3"/>
  <c r="T156" i="3"/>
  <c r="R156" i="3"/>
  <c r="P156" i="3"/>
  <c r="L156" i="3"/>
  <c r="J156" i="3"/>
  <c r="H156" i="3"/>
  <c r="N156" i="3"/>
  <c r="D156" i="3"/>
  <c r="V148" i="3"/>
  <c r="X148" i="3"/>
  <c r="T148" i="3"/>
  <c r="R148" i="3"/>
  <c r="P148" i="3"/>
  <c r="L148" i="3"/>
  <c r="N148" i="3"/>
  <c r="J148" i="3"/>
  <c r="H148" i="3"/>
  <c r="D148" i="3"/>
  <c r="X144" i="3"/>
  <c r="V144" i="3"/>
  <c r="R144" i="3"/>
  <c r="T144" i="3"/>
  <c r="P144" i="3"/>
  <c r="L144" i="3"/>
  <c r="J144" i="3"/>
  <c r="H144" i="3"/>
  <c r="N144" i="3"/>
  <c r="D144" i="3"/>
  <c r="X136" i="3"/>
  <c r="V136" i="3"/>
  <c r="R136" i="3"/>
  <c r="T136" i="3"/>
  <c r="P136" i="3"/>
  <c r="L136" i="3"/>
  <c r="J136" i="3"/>
  <c r="N136" i="3"/>
  <c r="H136" i="3"/>
  <c r="D136" i="3"/>
  <c r="X128" i="3"/>
  <c r="V128" i="3"/>
  <c r="T128" i="3"/>
  <c r="R128" i="3"/>
  <c r="P128" i="3"/>
  <c r="L128" i="3"/>
  <c r="J128" i="3"/>
  <c r="H128" i="3"/>
  <c r="N128" i="3"/>
  <c r="D128" i="3"/>
  <c r="X120" i="3"/>
  <c r="V120" i="3"/>
  <c r="T120" i="3"/>
  <c r="R120" i="3"/>
  <c r="P120" i="3"/>
  <c r="L120" i="3"/>
  <c r="N120" i="3"/>
  <c r="H120" i="3"/>
  <c r="J120" i="3"/>
  <c r="D120" i="3"/>
  <c r="X112" i="3"/>
  <c r="V112" i="3"/>
  <c r="R112" i="3"/>
  <c r="T112" i="3"/>
  <c r="P112" i="3"/>
  <c r="L112" i="3"/>
  <c r="H112" i="3"/>
  <c r="J112" i="3"/>
  <c r="N112" i="3"/>
  <c r="D112" i="3"/>
  <c r="X104" i="3"/>
  <c r="V104" i="3"/>
  <c r="R104" i="3"/>
  <c r="T104" i="3"/>
  <c r="P104" i="3"/>
  <c r="L104" i="3"/>
  <c r="N104" i="3"/>
  <c r="H104" i="3"/>
  <c r="J104" i="3"/>
  <c r="D104" i="3"/>
  <c r="X96" i="3"/>
  <c r="V96" i="3"/>
  <c r="T96" i="3"/>
  <c r="R96" i="3"/>
  <c r="P96" i="3"/>
  <c r="L96" i="3"/>
  <c r="H96" i="3"/>
  <c r="J96" i="3"/>
  <c r="N96" i="3"/>
  <c r="D96" i="3"/>
  <c r="X88" i="3"/>
  <c r="V88" i="3"/>
  <c r="T88" i="3"/>
  <c r="R88" i="3"/>
  <c r="P88" i="3"/>
  <c r="L88" i="3"/>
  <c r="N88" i="3"/>
  <c r="H88" i="3"/>
  <c r="J88" i="3"/>
  <c r="D88" i="3"/>
  <c r="X80" i="3"/>
  <c r="V80" i="3"/>
  <c r="R80" i="3"/>
  <c r="T80" i="3"/>
  <c r="P80" i="3"/>
  <c r="L80" i="3"/>
  <c r="H80" i="3"/>
  <c r="J80" i="3"/>
  <c r="N80" i="3"/>
  <c r="D80" i="3"/>
  <c r="X72" i="3"/>
  <c r="V72" i="3"/>
  <c r="T72" i="3"/>
  <c r="R72" i="3"/>
  <c r="P72" i="3"/>
  <c r="L72" i="3"/>
  <c r="N72" i="3"/>
  <c r="H72" i="3"/>
  <c r="J72" i="3"/>
  <c r="D72" i="3"/>
  <c r="V64" i="3"/>
  <c r="X64" i="3"/>
  <c r="T64" i="3"/>
  <c r="R64" i="3"/>
  <c r="P64" i="3"/>
  <c r="L64" i="3"/>
  <c r="H64" i="3"/>
  <c r="J64" i="3"/>
  <c r="N64" i="3"/>
  <c r="D64" i="3"/>
  <c r="V56" i="3"/>
  <c r="X56" i="3"/>
  <c r="T56" i="3"/>
  <c r="R56" i="3"/>
  <c r="P56" i="3"/>
  <c r="L56" i="3"/>
  <c r="N56" i="3"/>
  <c r="H56" i="3"/>
  <c r="J56" i="3"/>
  <c r="D56" i="3"/>
  <c r="V44" i="3"/>
  <c r="X44" i="3"/>
  <c r="T44" i="3"/>
  <c r="R44" i="3"/>
  <c r="P44" i="3"/>
  <c r="L44" i="3"/>
  <c r="J44" i="3"/>
  <c r="H44" i="3"/>
  <c r="N44" i="3"/>
  <c r="D44" i="3"/>
  <c r="V24" i="3"/>
  <c r="X24" i="3"/>
  <c r="T24" i="3"/>
  <c r="P24" i="3"/>
  <c r="R24" i="3"/>
  <c r="L24" i="3"/>
  <c r="N24" i="3"/>
  <c r="H24" i="3"/>
  <c r="J24" i="3"/>
  <c r="D24" i="3"/>
  <c r="X275" i="3"/>
  <c r="V275" i="3"/>
  <c r="T275" i="3"/>
  <c r="R275" i="3"/>
  <c r="P275" i="3"/>
  <c r="N275" i="3"/>
  <c r="F275" i="3"/>
  <c r="L275" i="3"/>
  <c r="J275" i="3"/>
  <c r="X271" i="3"/>
  <c r="V271" i="3"/>
  <c r="T271" i="3"/>
  <c r="R271" i="3"/>
  <c r="N271" i="3"/>
  <c r="P271" i="3"/>
  <c r="L271" i="3"/>
  <c r="F271" i="3"/>
  <c r="J271" i="3"/>
  <c r="X267" i="3"/>
  <c r="V267" i="3"/>
  <c r="T267" i="3"/>
  <c r="R267" i="3"/>
  <c r="N267" i="3"/>
  <c r="P267" i="3"/>
  <c r="F267" i="3"/>
  <c r="L267" i="3"/>
  <c r="J267" i="3"/>
  <c r="X263" i="3"/>
  <c r="V263" i="3"/>
  <c r="T263" i="3"/>
  <c r="R263" i="3"/>
  <c r="N263" i="3"/>
  <c r="P263" i="3"/>
  <c r="L263" i="3"/>
  <c r="F263" i="3"/>
  <c r="J263" i="3"/>
  <c r="X259" i="3"/>
  <c r="V259" i="3"/>
  <c r="T259" i="3"/>
  <c r="R259" i="3"/>
  <c r="N259" i="3"/>
  <c r="P259" i="3"/>
  <c r="F259" i="3"/>
  <c r="L259" i="3"/>
  <c r="J259" i="3"/>
  <c r="X255" i="3"/>
  <c r="V255" i="3"/>
  <c r="T255" i="3"/>
  <c r="R255" i="3"/>
  <c r="N255" i="3"/>
  <c r="P255" i="3"/>
  <c r="L255" i="3"/>
  <c r="F255" i="3"/>
  <c r="J255" i="3"/>
  <c r="X251" i="3"/>
  <c r="V251" i="3"/>
  <c r="T251" i="3"/>
  <c r="R251" i="3"/>
  <c r="N251" i="3"/>
  <c r="P251" i="3"/>
  <c r="F251" i="3"/>
  <c r="L251" i="3"/>
  <c r="J251" i="3"/>
  <c r="X247" i="3"/>
  <c r="V247" i="3"/>
  <c r="T247" i="3"/>
  <c r="R247" i="3"/>
  <c r="N247" i="3"/>
  <c r="P247" i="3"/>
  <c r="L247" i="3"/>
  <c r="F247" i="3"/>
  <c r="J247" i="3"/>
  <c r="X243" i="3"/>
  <c r="V243" i="3"/>
  <c r="T243" i="3"/>
  <c r="R243" i="3"/>
  <c r="N243" i="3"/>
  <c r="P243" i="3"/>
  <c r="F243" i="3"/>
  <c r="L243" i="3"/>
  <c r="J243" i="3"/>
  <c r="X239" i="3"/>
  <c r="V239" i="3"/>
  <c r="T239" i="3"/>
  <c r="R239" i="3"/>
  <c r="N239" i="3"/>
  <c r="P239" i="3"/>
  <c r="L239" i="3"/>
  <c r="F239" i="3"/>
  <c r="J239" i="3"/>
  <c r="X235" i="3"/>
  <c r="V235" i="3"/>
  <c r="T235" i="3"/>
  <c r="R235" i="3"/>
  <c r="N235" i="3"/>
  <c r="P235" i="3"/>
  <c r="F235" i="3"/>
  <c r="L235" i="3"/>
  <c r="J235" i="3"/>
  <c r="X231" i="3"/>
  <c r="V231" i="3"/>
  <c r="T231" i="3"/>
  <c r="R231" i="3"/>
  <c r="N231" i="3"/>
  <c r="P231" i="3"/>
  <c r="L231" i="3"/>
  <c r="F231" i="3"/>
  <c r="J231" i="3"/>
  <c r="X227" i="3"/>
  <c r="V227" i="3"/>
  <c r="T227" i="3"/>
  <c r="R227" i="3"/>
  <c r="N227" i="3"/>
  <c r="P227" i="3"/>
  <c r="F227" i="3"/>
  <c r="L227" i="3"/>
  <c r="J227" i="3"/>
  <c r="X223" i="3"/>
  <c r="V223" i="3"/>
  <c r="T223" i="3"/>
  <c r="R223" i="3"/>
  <c r="N223" i="3"/>
  <c r="P223" i="3"/>
  <c r="L223" i="3"/>
  <c r="F223" i="3"/>
  <c r="J223" i="3"/>
  <c r="X219" i="3"/>
  <c r="V219" i="3"/>
  <c r="T219" i="3"/>
  <c r="R219" i="3"/>
  <c r="N219" i="3"/>
  <c r="P219" i="3"/>
  <c r="F219" i="3"/>
  <c r="L219" i="3"/>
  <c r="J219" i="3"/>
  <c r="X215" i="3"/>
  <c r="V215" i="3"/>
  <c r="T215" i="3"/>
  <c r="R215" i="3"/>
  <c r="N215" i="3"/>
  <c r="P215" i="3"/>
  <c r="L215" i="3"/>
  <c r="F215" i="3"/>
  <c r="J215" i="3"/>
  <c r="X211" i="3"/>
  <c r="V211" i="3"/>
  <c r="T211" i="3"/>
  <c r="R211" i="3"/>
  <c r="N211" i="3"/>
  <c r="P211" i="3"/>
  <c r="F211" i="3"/>
  <c r="L211" i="3"/>
  <c r="J211" i="3"/>
  <c r="X207" i="3"/>
  <c r="V207" i="3"/>
  <c r="T207" i="3"/>
  <c r="R207" i="3"/>
  <c r="N207" i="3"/>
  <c r="P207" i="3"/>
  <c r="L207" i="3"/>
  <c r="F207" i="3"/>
  <c r="J207" i="3"/>
  <c r="X203" i="3"/>
  <c r="V203" i="3"/>
  <c r="T203" i="3"/>
  <c r="R203" i="3"/>
  <c r="N203" i="3"/>
  <c r="P203" i="3"/>
  <c r="F203" i="3"/>
  <c r="L203" i="3"/>
  <c r="J203" i="3"/>
  <c r="X199" i="3"/>
  <c r="V199" i="3"/>
  <c r="T199" i="3"/>
  <c r="R199" i="3"/>
  <c r="N199" i="3"/>
  <c r="P199" i="3"/>
  <c r="L199" i="3"/>
  <c r="F199" i="3"/>
  <c r="J199" i="3"/>
  <c r="X195" i="3"/>
  <c r="V195" i="3"/>
  <c r="T195" i="3"/>
  <c r="R195" i="3"/>
  <c r="N195" i="3"/>
  <c r="P195" i="3"/>
  <c r="F195" i="3"/>
  <c r="L195" i="3"/>
  <c r="J195" i="3"/>
  <c r="X191" i="3"/>
  <c r="V191" i="3"/>
  <c r="T191" i="3"/>
  <c r="R191" i="3"/>
  <c r="N191" i="3"/>
  <c r="P191" i="3"/>
  <c r="L191" i="3"/>
  <c r="F191" i="3"/>
  <c r="J191" i="3"/>
  <c r="X187" i="3"/>
  <c r="V187" i="3"/>
  <c r="T187" i="3"/>
  <c r="R187" i="3"/>
  <c r="N187" i="3"/>
  <c r="P187" i="3"/>
  <c r="F187" i="3"/>
  <c r="L187" i="3"/>
  <c r="J187" i="3"/>
  <c r="X183" i="3"/>
  <c r="V183" i="3"/>
  <c r="T183" i="3"/>
  <c r="R183" i="3"/>
  <c r="N183" i="3"/>
  <c r="P183" i="3"/>
  <c r="L183" i="3"/>
  <c r="F183" i="3"/>
  <c r="J183" i="3"/>
  <c r="X179" i="3"/>
  <c r="V179" i="3"/>
  <c r="T179" i="3"/>
  <c r="R179" i="3"/>
  <c r="N179" i="3"/>
  <c r="P179" i="3"/>
  <c r="F179" i="3"/>
  <c r="L179" i="3"/>
  <c r="J179" i="3"/>
  <c r="X175" i="3"/>
  <c r="V175" i="3"/>
  <c r="T175" i="3"/>
  <c r="R175" i="3"/>
  <c r="N175" i="3"/>
  <c r="P175" i="3"/>
  <c r="L175" i="3"/>
  <c r="F175" i="3"/>
  <c r="J175" i="3"/>
  <c r="X171" i="3"/>
  <c r="V171" i="3"/>
  <c r="T171" i="3"/>
  <c r="R171" i="3"/>
  <c r="N171" i="3"/>
  <c r="P171" i="3"/>
  <c r="F171" i="3"/>
  <c r="L171" i="3"/>
  <c r="J171" i="3"/>
  <c r="X167" i="3"/>
  <c r="V167" i="3"/>
  <c r="T167" i="3"/>
  <c r="R167" i="3"/>
  <c r="N167" i="3"/>
  <c r="P167" i="3"/>
  <c r="L167" i="3"/>
  <c r="F167" i="3"/>
  <c r="J167" i="3"/>
  <c r="X163" i="3"/>
  <c r="V163" i="3"/>
  <c r="T163" i="3"/>
  <c r="R163" i="3"/>
  <c r="N163" i="3"/>
  <c r="P163" i="3"/>
  <c r="F163" i="3"/>
  <c r="L163" i="3"/>
  <c r="J163" i="3"/>
  <c r="X159" i="3"/>
  <c r="V159" i="3"/>
  <c r="T159" i="3"/>
  <c r="R159" i="3"/>
  <c r="N159" i="3"/>
  <c r="P159" i="3"/>
  <c r="L159" i="3"/>
  <c r="F159" i="3"/>
  <c r="J159" i="3"/>
  <c r="X155" i="3"/>
  <c r="V155" i="3"/>
  <c r="T155" i="3"/>
  <c r="R155" i="3"/>
  <c r="N155" i="3"/>
  <c r="P155" i="3"/>
  <c r="F155" i="3"/>
  <c r="L155" i="3"/>
  <c r="J155" i="3"/>
  <c r="X151" i="3"/>
  <c r="V151" i="3"/>
  <c r="T151" i="3"/>
  <c r="R151" i="3"/>
  <c r="N151" i="3"/>
  <c r="P151" i="3"/>
  <c r="L151" i="3"/>
  <c r="F151" i="3"/>
  <c r="J151" i="3"/>
  <c r="X147" i="3"/>
  <c r="V147" i="3"/>
  <c r="T147" i="3"/>
  <c r="R147" i="3"/>
  <c r="N147" i="3"/>
  <c r="P147" i="3"/>
  <c r="F147" i="3"/>
  <c r="L147" i="3"/>
  <c r="J147" i="3"/>
  <c r="D275" i="3"/>
  <c r="D267" i="3"/>
  <c r="D259" i="3"/>
  <c r="D251" i="3"/>
  <c r="D243" i="3"/>
  <c r="D235" i="3"/>
  <c r="D227" i="3"/>
  <c r="D219" i="3"/>
  <c r="D211" i="3"/>
  <c r="D203" i="3"/>
  <c r="D195" i="3"/>
  <c r="D187" i="3"/>
  <c r="D179" i="3"/>
  <c r="D171" i="3"/>
  <c r="D163" i="3"/>
  <c r="D155" i="3"/>
  <c r="D147" i="3"/>
  <c r="F3" i="3"/>
  <c r="F268" i="3"/>
  <c r="F260" i="3"/>
  <c r="F252" i="3"/>
  <c r="F244" i="3"/>
  <c r="F236" i="3"/>
  <c r="F228" i="3"/>
  <c r="F220" i="3"/>
  <c r="F212" i="3"/>
  <c r="F204" i="3"/>
  <c r="F196" i="3"/>
  <c r="F188" i="3"/>
  <c r="F180" i="3"/>
  <c r="F172" i="3"/>
  <c r="F164" i="3"/>
  <c r="F156" i="3"/>
  <c r="F148" i="3"/>
  <c r="F140" i="3"/>
  <c r="F132" i="3"/>
  <c r="F124" i="3"/>
  <c r="F116" i="3"/>
  <c r="F108" i="3"/>
  <c r="F100" i="3"/>
  <c r="F92" i="3"/>
  <c r="F84" i="3"/>
  <c r="F76" i="3"/>
  <c r="F68" i="3"/>
  <c r="F60" i="3"/>
  <c r="F52" i="3"/>
  <c r="F44" i="3"/>
  <c r="F36" i="3"/>
  <c r="F28" i="3"/>
  <c r="F20" i="3"/>
  <c r="F12" i="3"/>
  <c r="F4" i="3"/>
  <c r="H269" i="3"/>
  <c r="H261" i="3"/>
  <c r="H253" i="3"/>
  <c r="H245" i="3"/>
  <c r="H237" i="3"/>
  <c r="H229" i="3"/>
  <c r="H221" i="3"/>
  <c r="H213" i="3"/>
  <c r="H205" i="3"/>
  <c r="H197" i="3"/>
  <c r="H189" i="3"/>
  <c r="H181" i="3"/>
  <c r="H173" i="3"/>
  <c r="H165" i="3"/>
  <c r="H157" i="3"/>
  <c r="H149" i="3"/>
  <c r="X241" i="3"/>
  <c r="T241" i="3"/>
  <c r="V241" i="3"/>
  <c r="R241" i="3"/>
  <c r="N241" i="3"/>
  <c r="J241" i="3"/>
  <c r="L241" i="3"/>
  <c r="P241" i="3"/>
  <c r="F241" i="3"/>
  <c r="X274" i="3"/>
  <c r="V274" i="3"/>
  <c r="T274" i="3"/>
  <c r="P274" i="3"/>
  <c r="R274" i="3"/>
  <c r="L274" i="3"/>
  <c r="D274" i="3"/>
  <c r="N274" i="3"/>
  <c r="H274" i="3"/>
  <c r="X270" i="3"/>
  <c r="V270" i="3"/>
  <c r="T270" i="3"/>
  <c r="P270" i="3"/>
  <c r="N270" i="3"/>
  <c r="L270" i="3"/>
  <c r="D270" i="3"/>
  <c r="R270" i="3"/>
  <c r="H270" i="3"/>
  <c r="X266" i="3"/>
  <c r="V266" i="3"/>
  <c r="T266" i="3"/>
  <c r="P266" i="3"/>
  <c r="R266" i="3"/>
  <c r="L266" i="3"/>
  <c r="D266" i="3"/>
  <c r="N266" i="3"/>
  <c r="H266" i="3"/>
  <c r="X262" i="3"/>
  <c r="V262" i="3"/>
  <c r="T262" i="3"/>
  <c r="P262" i="3"/>
  <c r="N262" i="3"/>
  <c r="L262" i="3"/>
  <c r="D262" i="3"/>
  <c r="R262" i="3"/>
  <c r="H262" i="3"/>
  <c r="X258" i="3"/>
  <c r="V258" i="3"/>
  <c r="T258" i="3"/>
  <c r="P258" i="3"/>
  <c r="R258" i="3"/>
  <c r="L258" i="3"/>
  <c r="N258" i="3"/>
  <c r="Z258" i="3" s="1"/>
  <c r="D258" i="3"/>
  <c r="H258" i="3"/>
  <c r="X254" i="3"/>
  <c r="V254" i="3"/>
  <c r="T254" i="3"/>
  <c r="P254" i="3"/>
  <c r="N254" i="3"/>
  <c r="L254" i="3"/>
  <c r="Z254" i="3" s="1"/>
  <c r="R254" i="3"/>
  <c r="D254" i="3"/>
  <c r="H254" i="3"/>
  <c r="X250" i="3"/>
  <c r="V250" i="3"/>
  <c r="T250" i="3"/>
  <c r="P250" i="3"/>
  <c r="N250" i="3"/>
  <c r="R250" i="3"/>
  <c r="L250" i="3"/>
  <c r="D250" i="3"/>
  <c r="H250" i="3"/>
  <c r="Z250" i="3" s="1"/>
  <c r="X246" i="3"/>
  <c r="V246" i="3"/>
  <c r="T246" i="3"/>
  <c r="P246" i="3"/>
  <c r="N246" i="3"/>
  <c r="L246" i="3"/>
  <c r="R246" i="3"/>
  <c r="D246" i="3"/>
  <c r="Z246" i="3" s="1"/>
  <c r="H246" i="3"/>
  <c r="X242" i="3"/>
  <c r="V242" i="3"/>
  <c r="T242" i="3"/>
  <c r="P242" i="3"/>
  <c r="R242" i="3"/>
  <c r="N242" i="3"/>
  <c r="L242" i="3"/>
  <c r="D242" i="3"/>
  <c r="H242" i="3"/>
  <c r="X238" i="3"/>
  <c r="V238" i="3"/>
  <c r="T238" i="3"/>
  <c r="P238" i="3"/>
  <c r="N238" i="3"/>
  <c r="L238" i="3"/>
  <c r="Z238" i="3" s="1"/>
  <c r="D238" i="3"/>
  <c r="R238" i="3"/>
  <c r="H238" i="3"/>
  <c r="X234" i="3"/>
  <c r="V234" i="3"/>
  <c r="T234" i="3"/>
  <c r="P234" i="3"/>
  <c r="N234" i="3"/>
  <c r="R234" i="3"/>
  <c r="L234" i="3"/>
  <c r="D234" i="3"/>
  <c r="H234" i="3"/>
  <c r="X230" i="3"/>
  <c r="V230" i="3"/>
  <c r="T230" i="3"/>
  <c r="P230" i="3"/>
  <c r="N230" i="3"/>
  <c r="L230" i="3"/>
  <c r="D230" i="3"/>
  <c r="R230" i="3"/>
  <c r="Z230" i="3" s="1"/>
  <c r="J230" i="3"/>
  <c r="H230" i="3"/>
  <c r="X226" i="3"/>
  <c r="V226" i="3"/>
  <c r="T226" i="3"/>
  <c r="P226" i="3"/>
  <c r="R226" i="3"/>
  <c r="N226" i="3"/>
  <c r="L226" i="3"/>
  <c r="D226" i="3"/>
  <c r="J226" i="3"/>
  <c r="H226" i="3"/>
  <c r="X222" i="3"/>
  <c r="V222" i="3"/>
  <c r="T222" i="3"/>
  <c r="P222" i="3"/>
  <c r="N222" i="3"/>
  <c r="L222" i="3"/>
  <c r="R222" i="3"/>
  <c r="D222" i="3"/>
  <c r="J222" i="3"/>
  <c r="H222" i="3"/>
  <c r="X218" i="3"/>
  <c r="V218" i="3"/>
  <c r="T218" i="3"/>
  <c r="P218" i="3"/>
  <c r="N218" i="3"/>
  <c r="R218" i="3"/>
  <c r="L218" i="3"/>
  <c r="D218" i="3"/>
  <c r="J218" i="3"/>
  <c r="H218" i="3"/>
  <c r="X214" i="3"/>
  <c r="V214" i="3"/>
  <c r="T214" i="3"/>
  <c r="P214" i="3"/>
  <c r="N214" i="3"/>
  <c r="L214" i="3"/>
  <c r="R214" i="3"/>
  <c r="D214" i="3"/>
  <c r="J214" i="3"/>
  <c r="H214" i="3"/>
  <c r="X210" i="3"/>
  <c r="V210" i="3"/>
  <c r="T210" i="3"/>
  <c r="P210" i="3"/>
  <c r="R210" i="3"/>
  <c r="N210" i="3"/>
  <c r="L210" i="3"/>
  <c r="D210" i="3"/>
  <c r="J210" i="3"/>
  <c r="H210" i="3"/>
  <c r="X206" i="3"/>
  <c r="V206" i="3"/>
  <c r="T206" i="3"/>
  <c r="P206" i="3"/>
  <c r="N206" i="3"/>
  <c r="L206" i="3"/>
  <c r="D206" i="3"/>
  <c r="J206" i="3"/>
  <c r="R206" i="3"/>
  <c r="H206" i="3"/>
  <c r="X202" i="3"/>
  <c r="V202" i="3"/>
  <c r="T202" i="3"/>
  <c r="P202" i="3"/>
  <c r="N202" i="3"/>
  <c r="R202" i="3"/>
  <c r="L202" i="3"/>
  <c r="D202" i="3"/>
  <c r="J202" i="3"/>
  <c r="H202" i="3"/>
  <c r="X198" i="3"/>
  <c r="V198" i="3"/>
  <c r="T198" i="3"/>
  <c r="R198" i="3"/>
  <c r="P198" i="3"/>
  <c r="N198" i="3"/>
  <c r="L198" i="3"/>
  <c r="D198" i="3"/>
  <c r="J198" i="3"/>
  <c r="H198" i="3"/>
  <c r="X194" i="3"/>
  <c r="V194" i="3"/>
  <c r="T194" i="3"/>
  <c r="P194" i="3"/>
  <c r="R194" i="3"/>
  <c r="N194" i="3"/>
  <c r="L194" i="3"/>
  <c r="D194" i="3"/>
  <c r="J194" i="3"/>
  <c r="H194" i="3"/>
  <c r="X190" i="3"/>
  <c r="V190" i="3"/>
  <c r="T190" i="3"/>
  <c r="R190" i="3"/>
  <c r="P190" i="3"/>
  <c r="N190" i="3"/>
  <c r="L190" i="3"/>
  <c r="D190" i="3"/>
  <c r="J190" i="3"/>
  <c r="H190" i="3"/>
  <c r="X186" i="3"/>
  <c r="V186" i="3"/>
  <c r="T186" i="3"/>
  <c r="P186" i="3"/>
  <c r="R186" i="3"/>
  <c r="N186" i="3"/>
  <c r="L186" i="3"/>
  <c r="D186" i="3"/>
  <c r="J186" i="3"/>
  <c r="H186" i="3"/>
  <c r="X182" i="3"/>
  <c r="V182" i="3"/>
  <c r="T182" i="3"/>
  <c r="R182" i="3"/>
  <c r="P182" i="3"/>
  <c r="N182" i="3"/>
  <c r="L182" i="3"/>
  <c r="D182" i="3"/>
  <c r="J182" i="3"/>
  <c r="H182" i="3"/>
  <c r="X178" i="3"/>
  <c r="V178" i="3"/>
  <c r="T178" i="3"/>
  <c r="P178" i="3"/>
  <c r="R178" i="3"/>
  <c r="N178" i="3"/>
  <c r="L178" i="3"/>
  <c r="D178" i="3"/>
  <c r="J178" i="3"/>
  <c r="H178" i="3"/>
  <c r="Z178" i="3" s="1"/>
  <c r="X174" i="3"/>
  <c r="V174" i="3"/>
  <c r="T174" i="3"/>
  <c r="R174" i="3"/>
  <c r="P174" i="3"/>
  <c r="N174" i="3"/>
  <c r="L174" i="3"/>
  <c r="D174" i="3"/>
  <c r="J174" i="3"/>
  <c r="H174" i="3"/>
  <c r="X170" i="3"/>
  <c r="V170" i="3"/>
  <c r="T170" i="3"/>
  <c r="P170" i="3"/>
  <c r="R170" i="3"/>
  <c r="N170" i="3"/>
  <c r="L170" i="3"/>
  <c r="D170" i="3"/>
  <c r="J170" i="3"/>
  <c r="H170" i="3"/>
  <c r="X166" i="3"/>
  <c r="V166" i="3"/>
  <c r="T166" i="3"/>
  <c r="R166" i="3"/>
  <c r="P166" i="3"/>
  <c r="N166" i="3"/>
  <c r="L166" i="3"/>
  <c r="D166" i="3"/>
  <c r="Z166" i="3" s="1"/>
  <c r="J166" i="3"/>
  <c r="H166" i="3"/>
  <c r="X162" i="3"/>
  <c r="V162" i="3"/>
  <c r="T162" i="3"/>
  <c r="P162" i="3"/>
  <c r="R162" i="3"/>
  <c r="N162" i="3"/>
  <c r="L162" i="3"/>
  <c r="D162" i="3"/>
  <c r="J162" i="3"/>
  <c r="H162" i="3"/>
  <c r="X158" i="3"/>
  <c r="V158" i="3"/>
  <c r="T158" i="3"/>
  <c r="R158" i="3"/>
  <c r="P158" i="3"/>
  <c r="N158" i="3"/>
  <c r="L158" i="3"/>
  <c r="D158" i="3"/>
  <c r="J158" i="3"/>
  <c r="H158" i="3"/>
  <c r="X154" i="3"/>
  <c r="V154" i="3"/>
  <c r="T154" i="3"/>
  <c r="P154" i="3"/>
  <c r="R154" i="3"/>
  <c r="N154" i="3"/>
  <c r="L154" i="3"/>
  <c r="D154" i="3"/>
  <c r="J154" i="3"/>
  <c r="H154" i="3"/>
  <c r="X150" i="3"/>
  <c r="V150" i="3"/>
  <c r="T150" i="3"/>
  <c r="R150" i="3"/>
  <c r="P150" i="3"/>
  <c r="N150" i="3"/>
  <c r="L150" i="3"/>
  <c r="D150" i="3"/>
  <c r="J150" i="3"/>
  <c r="H150" i="3"/>
  <c r="X146" i="3"/>
  <c r="V146" i="3"/>
  <c r="T146" i="3"/>
  <c r="P146" i="3"/>
  <c r="R146" i="3"/>
  <c r="N146" i="3"/>
  <c r="L146" i="3"/>
  <c r="D146" i="3"/>
  <c r="J146" i="3"/>
  <c r="H146" i="3"/>
  <c r="X142" i="3"/>
  <c r="V142" i="3"/>
  <c r="T142" i="3"/>
  <c r="R142" i="3"/>
  <c r="P142" i="3"/>
  <c r="N142" i="3"/>
  <c r="L142" i="3"/>
  <c r="D142" i="3"/>
  <c r="J142" i="3"/>
  <c r="H142" i="3"/>
  <c r="X138" i="3"/>
  <c r="V138" i="3"/>
  <c r="T138" i="3"/>
  <c r="P138" i="3"/>
  <c r="R138" i="3"/>
  <c r="N138" i="3"/>
  <c r="L138" i="3"/>
  <c r="D138" i="3"/>
  <c r="J138" i="3"/>
  <c r="H138" i="3"/>
  <c r="X134" i="3"/>
  <c r="V134" i="3"/>
  <c r="T134" i="3"/>
  <c r="R134" i="3"/>
  <c r="P134" i="3"/>
  <c r="N134" i="3"/>
  <c r="L134" i="3"/>
  <c r="D134" i="3"/>
  <c r="J134" i="3"/>
  <c r="H134" i="3"/>
  <c r="X130" i="3"/>
  <c r="V130" i="3"/>
  <c r="T130" i="3"/>
  <c r="P130" i="3"/>
  <c r="R130" i="3"/>
  <c r="N130" i="3"/>
  <c r="L130" i="3"/>
  <c r="D130" i="3"/>
  <c r="J130" i="3"/>
  <c r="H130" i="3"/>
  <c r="X126" i="3"/>
  <c r="V126" i="3"/>
  <c r="T126" i="3"/>
  <c r="R126" i="3"/>
  <c r="P126" i="3"/>
  <c r="N126" i="3"/>
  <c r="L126" i="3"/>
  <c r="D126" i="3"/>
  <c r="J126" i="3"/>
  <c r="H126" i="3"/>
  <c r="X122" i="3"/>
  <c r="V122" i="3"/>
  <c r="T122" i="3"/>
  <c r="P122" i="3"/>
  <c r="R122" i="3"/>
  <c r="N122" i="3"/>
  <c r="L122" i="3"/>
  <c r="D122" i="3"/>
  <c r="J122" i="3"/>
  <c r="H122" i="3"/>
  <c r="X118" i="3"/>
  <c r="V118" i="3"/>
  <c r="T118" i="3"/>
  <c r="R118" i="3"/>
  <c r="P118" i="3"/>
  <c r="N118" i="3"/>
  <c r="L118" i="3"/>
  <c r="J118" i="3"/>
  <c r="D118" i="3"/>
  <c r="H118" i="3"/>
  <c r="X114" i="3"/>
  <c r="V114" i="3"/>
  <c r="T114" i="3"/>
  <c r="P114" i="3"/>
  <c r="R114" i="3"/>
  <c r="N114" i="3"/>
  <c r="L114" i="3"/>
  <c r="D114" i="3"/>
  <c r="J114" i="3"/>
  <c r="H114" i="3"/>
  <c r="X110" i="3"/>
  <c r="V110" i="3"/>
  <c r="T110" i="3"/>
  <c r="R110" i="3"/>
  <c r="P110" i="3"/>
  <c r="N110" i="3"/>
  <c r="L110" i="3"/>
  <c r="J110" i="3"/>
  <c r="D110" i="3"/>
  <c r="H110" i="3"/>
  <c r="X106" i="3"/>
  <c r="V106" i="3"/>
  <c r="T106" i="3"/>
  <c r="P106" i="3"/>
  <c r="R106" i="3"/>
  <c r="N106" i="3"/>
  <c r="L106" i="3"/>
  <c r="D106" i="3"/>
  <c r="J106" i="3"/>
  <c r="H106" i="3"/>
  <c r="X102" i="3"/>
  <c r="V102" i="3"/>
  <c r="T102" i="3"/>
  <c r="R102" i="3"/>
  <c r="P102" i="3"/>
  <c r="N102" i="3"/>
  <c r="L102" i="3"/>
  <c r="J102" i="3"/>
  <c r="Z102" i="3" s="1"/>
  <c r="D102" i="3"/>
  <c r="H102" i="3"/>
  <c r="X98" i="3"/>
  <c r="V98" i="3"/>
  <c r="T98" i="3"/>
  <c r="P98" i="3"/>
  <c r="R98" i="3"/>
  <c r="N98" i="3"/>
  <c r="L98" i="3"/>
  <c r="D98" i="3"/>
  <c r="J98" i="3"/>
  <c r="H98" i="3"/>
  <c r="X94" i="3"/>
  <c r="V94" i="3"/>
  <c r="T94" i="3"/>
  <c r="R94" i="3"/>
  <c r="P94" i="3"/>
  <c r="N94" i="3"/>
  <c r="L94" i="3"/>
  <c r="J94" i="3"/>
  <c r="D94" i="3"/>
  <c r="H94" i="3"/>
  <c r="X90" i="3"/>
  <c r="V90" i="3"/>
  <c r="T90" i="3"/>
  <c r="P90" i="3"/>
  <c r="R90" i="3"/>
  <c r="N90" i="3"/>
  <c r="L90" i="3"/>
  <c r="D90" i="3"/>
  <c r="J90" i="3"/>
  <c r="H90" i="3"/>
  <c r="X86" i="3"/>
  <c r="V86" i="3"/>
  <c r="T86" i="3"/>
  <c r="R86" i="3"/>
  <c r="P86" i="3"/>
  <c r="N86" i="3"/>
  <c r="L86" i="3"/>
  <c r="J86" i="3"/>
  <c r="D86" i="3"/>
  <c r="H86" i="3"/>
  <c r="X82" i="3"/>
  <c r="V82" i="3"/>
  <c r="T82" i="3"/>
  <c r="P82" i="3"/>
  <c r="R82" i="3"/>
  <c r="N82" i="3"/>
  <c r="L82" i="3"/>
  <c r="D82" i="3"/>
  <c r="J82" i="3"/>
  <c r="H82" i="3"/>
  <c r="X78" i="3"/>
  <c r="V78" i="3"/>
  <c r="T78" i="3"/>
  <c r="R78" i="3"/>
  <c r="P78" i="3"/>
  <c r="N78" i="3"/>
  <c r="L78" i="3"/>
  <c r="J78" i="3"/>
  <c r="D78" i="3"/>
  <c r="H78" i="3"/>
  <c r="X74" i="3"/>
  <c r="V74" i="3"/>
  <c r="T74" i="3"/>
  <c r="P74" i="3"/>
  <c r="R74" i="3"/>
  <c r="N74" i="3"/>
  <c r="L74" i="3"/>
  <c r="D74" i="3"/>
  <c r="J74" i="3"/>
  <c r="H74" i="3"/>
  <c r="X70" i="3"/>
  <c r="V70" i="3"/>
  <c r="T70" i="3"/>
  <c r="R70" i="3"/>
  <c r="P70" i="3"/>
  <c r="N70" i="3"/>
  <c r="L70" i="3"/>
  <c r="J70" i="3"/>
  <c r="D70" i="3"/>
  <c r="H70" i="3"/>
  <c r="X66" i="3"/>
  <c r="V66" i="3"/>
  <c r="T66" i="3"/>
  <c r="P66" i="3"/>
  <c r="R66" i="3"/>
  <c r="N66" i="3"/>
  <c r="L66" i="3"/>
  <c r="D66" i="3"/>
  <c r="J66" i="3"/>
  <c r="H66" i="3"/>
  <c r="X62" i="3"/>
  <c r="V62" i="3"/>
  <c r="T62" i="3"/>
  <c r="R62" i="3"/>
  <c r="P62" i="3"/>
  <c r="N62" i="3"/>
  <c r="L62" i="3"/>
  <c r="J62" i="3"/>
  <c r="Z62" i="3" s="1"/>
  <c r="D62" i="3"/>
  <c r="H62" i="3"/>
  <c r="X58" i="3"/>
  <c r="V58" i="3"/>
  <c r="T58" i="3"/>
  <c r="P58" i="3"/>
  <c r="R58" i="3"/>
  <c r="N58" i="3"/>
  <c r="L58" i="3"/>
  <c r="D58" i="3"/>
  <c r="J58" i="3"/>
  <c r="H58" i="3"/>
  <c r="X54" i="3"/>
  <c r="V54" i="3"/>
  <c r="T54" i="3"/>
  <c r="R54" i="3"/>
  <c r="P54" i="3"/>
  <c r="N54" i="3"/>
  <c r="L54" i="3"/>
  <c r="J54" i="3"/>
  <c r="D54" i="3"/>
  <c r="H54" i="3"/>
  <c r="X50" i="3"/>
  <c r="V50" i="3"/>
  <c r="T50" i="3"/>
  <c r="P50" i="3"/>
  <c r="R50" i="3"/>
  <c r="N50" i="3"/>
  <c r="L50" i="3"/>
  <c r="D50" i="3"/>
  <c r="J50" i="3"/>
  <c r="H50" i="3"/>
  <c r="X46" i="3"/>
  <c r="V46" i="3"/>
  <c r="T46" i="3"/>
  <c r="R46" i="3"/>
  <c r="P46" i="3"/>
  <c r="N46" i="3"/>
  <c r="L46" i="3"/>
  <c r="J46" i="3"/>
  <c r="D46" i="3"/>
  <c r="H46" i="3"/>
  <c r="X42" i="3"/>
  <c r="V42" i="3"/>
  <c r="T42" i="3"/>
  <c r="P42" i="3"/>
  <c r="R42" i="3"/>
  <c r="N42" i="3"/>
  <c r="L42" i="3"/>
  <c r="D42" i="3"/>
  <c r="J42" i="3"/>
  <c r="H42" i="3"/>
  <c r="X38" i="3"/>
  <c r="V38" i="3"/>
  <c r="T38" i="3"/>
  <c r="R38" i="3"/>
  <c r="P38" i="3"/>
  <c r="N38" i="3"/>
  <c r="L38" i="3"/>
  <c r="J38" i="3"/>
  <c r="D38" i="3"/>
  <c r="H38" i="3"/>
  <c r="X34" i="3"/>
  <c r="V34" i="3"/>
  <c r="T34" i="3"/>
  <c r="R34" i="3"/>
  <c r="P34" i="3"/>
  <c r="N34" i="3"/>
  <c r="L34" i="3"/>
  <c r="D34" i="3"/>
  <c r="J34" i="3"/>
  <c r="H34" i="3"/>
  <c r="X30" i="3"/>
  <c r="V30" i="3"/>
  <c r="T30" i="3"/>
  <c r="R30" i="3"/>
  <c r="P30" i="3"/>
  <c r="N30" i="3"/>
  <c r="L30" i="3"/>
  <c r="J30" i="3"/>
  <c r="D30" i="3"/>
  <c r="H30" i="3"/>
  <c r="X26" i="3"/>
  <c r="V26" i="3"/>
  <c r="T26" i="3"/>
  <c r="R26" i="3"/>
  <c r="P26" i="3"/>
  <c r="N26" i="3"/>
  <c r="L26" i="3"/>
  <c r="D26" i="3"/>
  <c r="J26" i="3"/>
  <c r="H26" i="3"/>
  <c r="X22" i="3"/>
  <c r="V22" i="3"/>
  <c r="T22" i="3"/>
  <c r="R22" i="3"/>
  <c r="P22" i="3"/>
  <c r="N22" i="3"/>
  <c r="L22" i="3"/>
  <c r="J22" i="3"/>
  <c r="D22" i="3"/>
  <c r="H22" i="3"/>
  <c r="X18" i="3"/>
  <c r="V18" i="3"/>
  <c r="T18" i="3"/>
  <c r="R18" i="3"/>
  <c r="P18" i="3"/>
  <c r="N18" i="3"/>
  <c r="L18" i="3"/>
  <c r="D18" i="3"/>
  <c r="J18" i="3"/>
  <c r="H18" i="3"/>
  <c r="X14" i="3"/>
  <c r="V14" i="3"/>
  <c r="T14" i="3"/>
  <c r="R14" i="3"/>
  <c r="P14" i="3"/>
  <c r="N14" i="3"/>
  <c r="L14" i="3"/>
  <c r="J14" i="3"/>
  <c r="D14" i="3"/>
  <c r="H14" i="3"/>
  <c r="X10" i="3"/>
  <c r="V10" i="3"/>
  <c r="T10" i="3"/>
  <c r="R10" i="3"/>
  <c r="P10" i="3"/>
  <c r="N10" i="3"/>
  <c r="L10" i="3"/>
  <c r="D10" i="3"/>
  <c r="J10" i="3"/>
  <c r="H10" i="3"/>
  <c r="X6" i="3"/>
  <c r="V6" i="3"/>
  <c r="T6" i="3"/>
  <c r="R6" i="3"/>
  <c r="P6" i="3"/>
  <c r="N6" i="3"/>
  <c r="L6" i="3"/>
  <c r="J6" i="3"/>
  <c r="D6" i="3"/>
  <c r="H6" i="3"/>
  <c r="D273" i="3"/>
  <c r="Z273" i="3" s="1"/>
  <c r="D265" i="3"/>
  <c r="Z265" i="3" s="1"/>
  <c r="D257" i="3"/>
  <c r="Z257" i="3" s="1"/>
  <c r="D249" i="3"/>
  <c r="Z249" i="3" s="1"/>
  <c r="D241" i="3"/>
  <c r="D233" i="3"/>
  <c r="Z233" i="3" s="1"/>
  <c r="D225" i="3"/>
  <c r="Z225" i="3" s="1"/>
  <c r="D217" i="3"/>
  <c r="Z217" i="3" s="1"/>
  <c r="D209" i="3"/>
  <c r="Z209" i="3" s="1"/>
  <c r="D201" i="3"/>
  <c r="Z201" i="3" s="1"/>
  <c r="D193" i="3"/>
  <c r="Z193" i="3" s="1"/>
  <c r="D185" i="3"/>
  <c r="Z185" i="3" s="1"/>
  <c r="D177" i="3"/>
  <c r="Z177" i="3" s="1"/>
  <c r="D169" i="3"/>
  <c r="Z169" i="3" s="1"/>
  <c r="D161" i="3"/>
  <c r="Z161" i="3" s="1"/>
  <c r="D153" i="3"/>
  <c r="Z153" i="3" s="1"/>
  <c r="F274" i="3"/>
  <c r="F266" i="3"/>
  <c r="Z266" i="3" s="1"/>
  <c r="F258" i="3"/>
  <c r="F250" i="3"/>
  <c r="F242" i="3"/>
  <c r="F234" i="3"/>
  <c r="Z234" i="3" s="1"/>
  <c r="F226" i="3"/>
  <c r="F218" i="3"/>
  <c r="F210" i="3"/>
  <c r="F202" i="3"/>
  <c r="F194" i="3"/>
  <c r="F186" i="3"/>
  <c r="F178" i="3"/>
  <c r="F170" i="3"/>
  <c r="F162" i="3"/>
  <c r="F154" i="3"/>
  <c r="F146" i="3"/>
  <c r="F138" i="3"/>
  <c r="Z138" i="3" s="1"/>
  <c r="F130" i="3"/>
  <c r="F122" i="3"/>
  <c r="F114" i="3"/>
  <c r="F106" i="3"/>
  <c r="F98" i="3"/>
  <c r="F90" i="3"/>
  <c r="F82" i="3"/>
  <c r="F74" i="3"/>
  <c r="Z74" i="3" s="1"/>
  <c r="F66" i="3"/>
  <c r="F58" i="3"/>
  <c r="F50" i="3"/>
  <c r="F42" i="3"/>
  <c r="F34" i="3"/>
  <c r="F26" i="3"/>
  <c r="F18" i="3"/>
  <c r="F10" i="3"/>
  <c r="H275" i="3"/>
  <c r="H267" i="3"/>
  <c r="H259" i="3"/>
  <c r="H251" i="3"/>
  <c r="Z251" i="3" s="1"/>
  <c r="H243" i="3"/>
  <c r="H235" i="3"/>
  <c r="H227" i="3"/>
  <c r="H219" i="3"/>
  <c r="Z219" i="3" s="1"/>
  <c r="H211" i="3"/>
  <c r="H203" i="3"/>
  <c r="H195" i="3"/>
  <c r="H187" i="3"/>
  <c r="Z187" i="3" s="1"/>
  <c r="H179" i="3"/>
  <c r="H171" i="3"/>
  <c r="H163" i="3"/>
  <c r="Z163" i="3" s="1"/>
  <c r="H155" i="3"/>
  <c r="Z155" i="3" s="1"/>
  <c r="H147" i="3"/>
  <c r="J3" i="3"/>
  <c r="Z3" i="3" s="1"/>
  <c r="J268" i="3"/>
  <c r="J260" i="3"/>
  <c r="Z260" i="3" s="1"/>
  <c r="J252" i="3"/>
  <c r="J244" i="3"/>
  <c r="Z244" i="3" s="1"/>
  <c r="J236" i="3"/>
  <c r="X143" i="3"/>
  <c r="V143" i="3"/>
  <c r="T143" i="3"/>
  <c r="R143" i="3"/>
  <c r="N143" i="3"/>
  <c r="P143" i="3"/>
  <c r="X139" i="3"/>
  <c r="V139" i="3"/>
  <c r="T139" i="3"/>
  <c r="R139" i="3"/>
  <c r="N139" i="3"/>
  <c r="P139" i="3"/>
  <c r="X135" i="3"/>
  <c r="V135" i="3"/>
  <c r="T135" i="3"/>
  <c r="R135" i="3"/>
  <c r="N135" i="3"/>
  <c r="P135" i="3"/>
  <c r="X131" i="3"/>
  <c r="V131" i="3"/>
  <c r="T131" i="3"/>
  <c r="R131" i="3"/>
  <c r="N131" i="3"/>
  <c r="P131" i="3"/>
  <c r="X127" i="3"/>
  <c r="V127" i="3"/>
  <c r="T127" i="3"/>
  <c r="R127" i="3"/>
  <c r="N127" i="3"/>
  <c r="P127" i="3"/>
  <c r="X123" i="3"/>
  <c r="V123" i="3"/>
  <c r="T123" i="3"/>
  <c r="R123" i="3"/>
  <c r="N123" i="3"/>
  <c r="P123" i="3"/>
  <c r="X119" i="3"/>
  <c r="V119" i="3"/>
  <c r="T119" i="3"/>
  <c r="R119" i="3"/>
  <c r="N119" i="3"/>
  <c r="J119" i="3"/>
  <c r="P119" i="3"/>
  <c r="X115" i="3"/>
  <c r="V115" i="3"/>
  <c r="T115" i="3"/>
  <c r="R115" i="3"/>
  <c r="N115" i="3"/>
  <c r="P115" i="3"/>
  <c r="J115" i="3"/>
  <c r="X111" i="3"/>
  <c r="V111" i="3"/>
  <c r="T111" i="3"/>
  <c r="R111" i="3"/>
  <c r="N111" i="3"/>
  <c r="J111" i="3"/>
  <c r="P111" i="3"/>
  <c r="X107" i="3"/>
  <c r="V107" i="3"/>
  <c r="T107" i="3"/>
  <c r="R107" i="3"/>
  <c r="N107" i="3"/>
  <c r="P107" i="3"/>
  <c r="J107" i="3"/>
  <c r="X103" i="3"/>
  <c r="V103" i="3"/>
  <c r="T103" i="3"/>
  <c r="R103" i="3"/>
  <c r="N103" i="3"/>
  <c r="J103" i="3"/>
  <c r="P103" i="3"/>
  <c r="X99" i="3"/>
  <c r="V99" i="3"/>
  <c r="T99" i="3"/>
  <c r="R99" i="3"/>
  <c r="N99" i="3"/>
  <c r="P99" i="3"/>
  <c r="J99" i="3"/>
  <c r="X95" i="3"/>
  <c r="V95" i="3"/>
  <c r="T95" i="3"/>
  <c r="R95" i="3"/>
  <c r="N95" i="3"/>
  <c r="J95" i="3"/>
  <c r="P95" i="3"/>
  <c r="X91" i="3"/>
  <c r="V91" i="3"/>
  <c r="T91" i="3"/>
  <c r="R91" i="3"/>
  <c r="N91" i="3"/>
  <c r="P91" i="3"/>
  <c r="J91" i="3"/>
  <c r="X87" i="3"/>
  <c r="V87" i="3"/>
  <c r="T87" i="3"/>
  <c r="R87" i="3"/>
  <c r="N87" i="3"/>
  <c r="J87" i="3"/>
  <c r="P87" i="3"/>
  <c r="X83" i="3"/>
  <c r="V83" i="3"/>
  <c r="T83" i="3"/>
  <c r="R83" i="3"/>
  <c r="N83" i="3"/>
  <c r="P83" i="3"/>
  <c r="J83" i="3"/>
  <c r="X79" i="3"/>
  <c r="V79" i="3"/>
  <c r="T79" i="3"/>
  <c r="R79" i="3"/>
  <c r="N79" i="3"/>
  <c r="J79" i="3"/>
  <c r="P79" i="3"/>
  <c r="X75" i="3"/>
  <c r="V75" i="3"/>
  <c r="T75" i="3"/>
  <c r="R75" i="3"/>
  <c r="Z75" i="3" s="1"/>
  <c r="N75" i="3"/>
  <c r="P75" i="3"/>
  <c r="J75" i="3"/>
  <c r="X71" i="3"/>
  <c r="V71" i="3"/>
  <c r="T71" i="3"/>
  <c r="R71" i="3"/>
  <c r="N71" i="3"/>
  <c r="J71" i="3"/>
  <c r="P71" i="3"/>
  <c r="X67" i="3"/>
  <c r="V67" i="3"/>
  <c r="T67" i="3"/>
  <c r="R67" i="3"/>
  <c r="N67" i="3"/>
  <c r="P67" i="3"/>
  <c r="J67" i="3"/>
  <c r="X63" i="3"/>
  <c r="V63" i="3"/>
  <c r="T63" i="3"/>
  <c r="R63" i="3"/>
  <c r="N63" i="3"/>
  <c r="J63" i="3"/>
  <c r="P63" i="3"/>
  <c r="X59" i="3"/>
  <c r="V59" i="3"/>
  <c r="T59" i="3"/>
  <c r="R59" i="3"/>
  <c r="N59" i="3"/>
  <c r="P59" i="3"/>
  <c r="J59" i="3"/>
  <c r="X55" i="3"/>
  <c r="V55" i="3"/>
  <c r="T55" i="3"/>
  <c r="R55" i="3"/>
  <c r="N55" i="3"/>
  <c r="J55" i="3"/>
  <c r="P55" i="3"/>
  <c r="X51" i="3"/>
  <c r="T51" i="3"/>
  <c r="V51" i="3"/>
  <c r="R51" i="3"/>
  <c r="N51" i="3"/>
  <c r="P51" i="3"/>
  <c r="J51" i="3"/>
  <c r="X47" i="3"/>
  <c r="V47" i="3"/>
  <c r="T47" i="3"/>
  <c r="R47" i="3"/>
  <c r="N47" i="3"/>
  <c r="J47" i="3"/>
  <c r="P47" i="3"/>
  <c r="X43" i="3"/>
  <c r="V43" i="3"/>
  <c r="T43" i="3"/>
  <c r="R43" i="3"/>
  <c r="N43" i="3"/>
  <c r="P43" i="3"/>
  <c r="J43" i="3"/>
  <c r="X39" i="3"/>
  <c r="V39" i="3"/>
  <c r="T39" i="3"/>
  <c r="R39" i="3"/>
  <c r="N39" i="3"/>
  <c r="J39" i="3"/>
  <c r="P39" i="3"/>
  <c r="X35" i="3"/>
  <c r="T35" i="3"/>
  <c r="V35" i="3"/>
  <c r="R35" i="3"/>
  <c r="P35" i="3"/>
  <c r="N35" i="3"/>
  <c r="J35" i="3"/>
  <c r="X31" i="3"/>
  <c r="V31" i="3"/>
  <c r="T31" i="3"/>
  <c r="P31" i="3"/>
  <c r="R31" i="3"/>
  <c r="N31" i="3"/>
  <c r="J31" i="3"/>
  <c r="X27" i="3"/>
  <c r="V27" i="3"/>
  <c r="T27" i="3"/>
  <c r="R27" i="3"/>
  <c r="P27" i="3"/>
  <c r="N27" i="3"/>
  <c r="J27" i="3"/>
  <c r="X23" i="3"/>
  <c r="V23" i="3"/>
  <c r="T23" i="3"/>
  <c r="R23" i="3"/>
  <c r="P23" i="3"/>
  <c r="N23" i="3"/>
  <c r="J23" i="3"/>
  <c r="X19" i="3"/>
  <c r="T19" i="3"/>
  <c r="V19" i="3"/>
  <c r="R19" i="3"/>
  <c r="P19" i="3"/>
  <c r="N19" i="3"/>
  <c r="J19" i="3"/>
  <c r="X15" i="3"/>
  <c r="V15" i="3"/>
  <c r="T15" i="3"/>
  <c r="P15" i="3"/>
  <c r="R15" i="3"/>
  <c r="N15" i="3"/>
  <c r="J15" i="3"/>
  <c r="X11" i="3"/>
  <c r="V11" i="3"/>
  <c r="T11" i="3"/>
  <c r="R11" i="3"/>
  <c r="P11" i="3"/>
  <c r="N11" i="3"/>
  <c r="J11" i="3"/>
  <c r="X7" i="3"/>
  <c r="V7" i="3"/>
  <c r="T7" i="3"/>
  <c r="R7" i="3"/>
  <c r="P7" i="3"/>
  <c r="N7" i="3"/>
  <c r="J7" i="3"/>
  <c r="F145" i="3"/>
  <c r="F141" i="3"/>
  <c r="F137" i="3"/>
  <c r="F129" i="3"/>
  <c r="F125" i="3"/>
  <c r="F121" i="3"/>
  <c r="F113" i="3"/>
  <c r="F109" i="3"/>
  <c r="F105" i="3"/>
  <c r="F97" i="3"/>
  <c r="F93" i="3"/>
  <c r="F89" i="3"/>
  <c r="F81" i="3"/>
  <c r="F77" i="3"/>
  <c r="F73" i="3"/>
  <c r="F65" i="3"/>
  <c r="F61" i="3"/>
  <c r="F57" i="3"/>
  <c r="F49" i="3"/>
  <c r="F45" i="3"/>
  <c r="F41" i="3"/>
  <c r="F33" i="3"/>
  <c r="F29" i="3"/>
  <c r="F25" i="3"/>
  <c r="F21" i="3"/>
  <c r="F17" i="3"/>
  <c r="F9" i="3"/>
  <c r="J143" i="3"/>
  <c r="J139" i="3"/>
  <c r="J135" i="3"/>
  <c r="J131" i="3"/>
  <c r="J127" i="3"/>
  <c r="L139" i="3"/>
  <c r="L131" i="3"/>
  <c r="L123" i="3"/>
  <c r="L115" i="3"/>
  <c r="L107" i="3"/>
  <c r="L99" i="3"/>
  <c r="L91" i="3"/>
  <c r="L83" i="3"/>
  <c r="L75" i="3"/>
  <c r="L67" i="3"/>
  <c r="L59" i="3"/>
  <c r="L51" i="3"/>
  <c r="L43" i="3"/>
  <c r="L35" i="3"/>
  <c r="L27" i="3"/>
  <c r="L19" i="3"/>
  <c r="L11" i="3"/>
  <c r="P145" i="3"/>
  <c r="P129" i="3"/>
  <c r="P113" i="3"/>
  <c r="P97" i="3"/>
  <c r="P81" i="3"/>
  <c r="P65" i="3"/>
  <c r="P49" i="3"/>
  <c r="X145" i="3"/>
  <c r="T145" i="3"/>
  <c r="V145" i="3"/>
  <c r="R145" i="3"/>
  <c r="N145" i="3"/>
  <c r="X141" i="3"/>
  <c r="T141" i="3"/>
  <c r="V141" i="3"/>
  <c r="R141" i="3"/>
  <c r="N141" i="3"/>
  <c r="X137" i="3"/>
  <c r="T137" i="3"/>
  <c r="V137" i="3"/>
  <c r="R137" i="3"/>
  <c r="N137" i="3"/>
  <c r="X133" i="3"/>
  <c r="V133" i="3"/>
  <c r="T133" i="3"/>
  <c r="R133" i="3"/>
  <c r="N133" i="3"/>
  <c r="X129" i="3"/>
  <c r="T129" i="3"/>
  <c r="V129" i="3"/>
  <c r="R129" i="3"/>
  <c r="N129" i="3"/>
  <c r="X125" i="3"/>
  <c r="T125" i="3"/>
  <c r="V125" i="3"/>
  <c r="R125" i="3"/>
  <c r="N125" i="3"/>
  <c r="J125" i="3"/>
  <c r="X121" i="3"/>
  <c r="T121" i="3"/>
  <c r="V121" i="3"/>
  <c r="R121" i="3"/>
  <c r="N121" i="3"/>
  <c r="J121" i="3"/>
  <c r="X117" i="3"/>
  <c r="V117" i="3"/>
  <c r="T117" i="3"/>
  <c r="R117" i="3"/>
  <c r="N117" i="3"/>
  <c r="J117" i="3"/>
  <c r="X113" i="3"/>
  <c r="T113" i="3"/>
  <c r="V113" i="3"/>
  <c r="R113" i="3"/>
  <c r="N113" i="3"/>
  <c r="J113" i="3"/>
  <c r="X109" i="3"/>
  <c r="T109" i="3"/>
  <c r="V109" i="3"/>
  <c r="R109" i="3"/>
  <c r="N109" i="3"/>
  <c r="J109" i="3"/>
  <c r="X105" i="3"/>
  <c r="T105" i="3"/>
  <c r="V105" i="3"/>
  <c r="R105" i="3"/>
  <c r="N105" i="3"/>
  <c r="J105" i="3"/>
  <c r="X101" i="3"/>
  <c r="V101" i="3"/>
  <c r="T101" i="3"/>
  <c r="R101" i="3"/>
  <c r="N101" i="3"/>
  <c r="J101" i="3"/>
  <c r="X97" i="3"/>
  <c r="T97" i="3"/>
  <c r="V97" i="3"/>
  <c r="R97" i="3"/>
  <c r="N97" i="3"/>
  <c r="J97" i="3"/>
  <c r="X93" i="3"/>
  <c r="T93" i="3"/>
  <c r="V93" i="3"/>
  <c r="R93" i="3"/>
  <c r="N93" i="3"/>
  <c r="J93" i="3"/>
  <c r="X89" i="3"/>
  <c r="T89" i="3"/>
  <c r="V89" i="3"/>
  <c r="R89" i="3"/>
  <c r="N89" i="3"/>
  <c r="J89" i="3"/>
  <c r="X85" i="3"/>
  <c r="V85" i="3"/>
  <c r="T85" i="3"/>
  <c r="R85" i="3"/>
  <c r="N85" i="3"/>
  <c r="J85" i="3"/>
  <c r="X81" i="3"/>
  <c r="T81" i="3"/>
  <c r="V81" i="3"/>
  <c r="R81" i="3"/>
  <c r="N81" i="3"/>
  <c r="J81" i="3"/>
  <c r="X77" i="3"/>
  <c r="T77" i="3"/>
  <c r="V77" i="3"/>
  <c r="R77" i="3"/>
  <c r="N77" i="3"/>
  <c r="J77" i="3"/>
  <c r="X73" i="3"/>
  <c r="T73" i="3"/>
  <c r="V73" i="3"/>
  <c r="R73" i="3"/>
  <c r="N73" i="3"/>
  <c r="J73" i="3"/>
  <c r="X69" i="3"/>
  <c r="V69" i="3"/>
  <c r="T69" i="3"/>
  <c r="R69" i="3"/>
  <c r="N69" i="3"/>
  <c r="J69" i="3"/>
  <c r="X65" i="3"/>
  <c r="V65" i="3"/>
  <c r="T65" i="3"/>
  <c r="R65" i="3"/>
  <c r="N65" i="3"/>
  <c r="J65" i="3"/>
  <c r="X61" i="3"/>
  <c r="V61" i="3"/>
  <c r="T61" i="3"/>
  <c r="R61" i="3"/>
  <c r="N61" i="3"/>
  <c r="J61" i="3"/>
  <c r="X57" i="3"/>
  <c r="V57" i="3"/>
  <c r="T57" i="3"/>
  <c r="R57" i="3"/>
  <c r="N57" i="3"/>
  <c r="J57" i="3"/>
  <c r="X53" i="3"/>
  <c r="V53" i="3"/>
  <c r="T53" i="3"/>
  <c r="R53" i="3"/>
  <c r="N53" i="3"/>
  <c r="J53" i="3"/>
  <c r="X49" i="3"/>
  <c r="V49" i="3"/>
  <c r="T49" i="3"/>
  <c r="R49" i="3"/>
  <c r="N49" i="3"/>
  <c r="J49" i="3"/>
  <c r="X45" i="3"/>
  <c r="V45" i="3"/>
  <c r="T45" i="3"/>
  <c r="R45" i="3"/>
  <c r="N45" i="3"/>
  <c r="J45" i="3"/>
  <c r="X41" i="3"/>
  <c r="V41" i="3"/>
  <c r="T41" i="3"/>
  <c r="R41" i="3"/>
  <c r="N41" i="3"/>
  <c r="J41" i="3"/>
  <c r="X37" i="3"/>
  <c r="V37" i="3"/>
  <c r="T37" i="3"/>
  <c r="R37" i="3"/>
  <c r="N37" i="3"/>
  <c r="J37" i="3"/>
  <c r="X33" i="3"/>
  <c r="V33" i="3"/>
  <c r="T33" i="3"/>
  <c r="R33" i="3"/>
  <c r="N33" i="3"/>
  <c r="P33" i="3"/>
  <c r="J33" i="3"/>
  <c r="X29" i="3"/>
  <c r="V29" i="3"/>
  <c r="T29" i="3"/>
  <c r="R29" i="3"/>
  <c r="N29" i="3"/>
  <c r="J29" i="3"/>
  <c r="X25" i="3"/>
  <c r="V25" i="3"/>
  <c r="T25" i="3"/>
  <c r="R25" i="3"/>
  <c r="N25" i="3"/>
  <c r="P25" i="3"/>
  <c r="J25" i="3"/>
  <c r="X21" i="3"/>
  <c r="V21" i="3"/>
  <c r="T21" i="3"/>
  <c r="R21" i="3"/>
  <c r="N21" i="3"/>
  <c r="J21" i="3"/>
  <c r="X17" i="3"/>
  <c r="V17" i="3"/>
  <c r="T17" i="3"/>
  <c r="R17" i="3"/>
  <c r="N17" i="3"/>
  <c r="P17" i="3"/>
  <c r="J17" i="3"/>
  <c r="X13" i="3"/>
  <c r="V13" i="3"/>
  <c r="T13" i="3"/>
  <c r="R13" i="3"/>
  <c r="N13" i="3"/>
  <c r="J13" i="3"/>
  <c r="X9" i="3"/>
  <c r="V9" i="3"/>
  <c r="T9" i="3"/>
  <c r="R9" i="3"/>
  <c r="N9" i="3"/>
  <c r="P9" i="3"/>
  <c r="J9" i="3"/>
  <c r="X5" i="3"/>
  <c r="V5" i="3"/>
  <c r="T5" i="3"/>
  <c r="R5" i="3"/>
  <c r="N5" i="3"/>
  <c r="J5" i="3"/>
  <c r="F143" i="3"/>
  <c r="F139" i="3"/>
  <c r="Z139" i="3" s="1"/>
  <c r="F135" i="3"/>
  <c r="F131" i="3"/>
  <c r="F127" i="3"/>
  <c r="F123" i="3"/>
  <c r="F119" i="3"/>
  <c r="F115" i="3"/>
  <c r="F111" i="3"/>
  <c r="F107" i="3"/>
  <c r="F103" i="3"/>
  <c r="F99" i="3"/>
  <c r="F95" i="3"/>
  <c r="F91" i="3"/>
  <c r="Z91" i="3" s="1"/>
  <c r="F87" i="3"/>
  <c r="F83" i="3"/>
  <c r="F79" i="3"/>
  <c r="F75" i="3"/>
  <c r="F71" i="3"/>
  <c r="F67" i="3"/>
  <c r="F63" i="3"/>
  <c r="F59" i="3"/>
  <c r="F55" i="3"/>
  <c r="F51" i="3"/>
  <c r="F47" i="3"/>
  <c r="F43" i="3"/>
  <c r="F39" i="3"/>
  <c r="F35" i="3"/>
  <c r="F31" i="3"/>
  <c r="F27" i="3"/>
  <c r="F23" i="3"/>
  <c r="F19" i="3"/>
  <c r="F15" i="3"/>
  <c r="F11" i="3"/>
  <c r="F7" i="3"/>
  <c r="J145" i="3"/>
  <c r="J141" i="3"/>
  <c r="J137" i="3"/>
  <c r="J133" i="3"/>
  <c r="J129" i="3"/>
  <c r="L143" i="3"/>
  <c r="L135" i="3"/>
  <c r="L127" i="3"/>
  <c r="L119" i="3"/>
  <c r="L111" i="3"/>
  <c r="L103" i="3"/>
  <c r="L95" i="3"/>
  <c r="L87" i="3"/>
  <c r="L79" i="3"/>
  <c r="L71" i="3"/>
  <c r="L63" i="3"/>
  <c r="L55" i="3"/>
  <c r="L47" i="3"/>
  <c r="L39" i="3"/>
  <c r="L31" i="3"/>
  <c r="L23" i="3"/>
  <c r="L15" i="3"/>
  <c r="L7" i="3"/>
  <c r="P137" i="3"/>
  <c r="P121" i="3"/>
  <c r="P105" i="3"/>
  <c r="P89" i="3"/>
  <c r="P73" i="3"/>
  <c r="P57" i="3"/>
  <c r="P41" i="3"/>
  <c r="P13" i="3"/>
  <c r="J123" i="3"/>
  <c r="Z123" i="3" s="1"/>
  <c r="L141" i="3"/>
  <c r="L133" i="3"/>
  <c r="L125" i="3"/>
  <c r="L117" i="3"/>
  <c r="L109" i="3"/>
  <c r="L101" i="3"/>
  <c r="L93" i="3"/>
  <c r="L85" i="3"/>
  <c r="L77" i="3"/>
  <c r="L69" i="3"/>
  <c r="L61" i="3"/>
  <c r="L53" i="3"/>
  <c r="L45" i="3"/>
  <c r="L37" i="3"/>
  <c r="L29" i="3"/>
  <c r="L21" i="3"/>
  <c r="L13" i="3"/>
  <c r="L5" i="3"/>
  <c r="P133" i="3"/>
  <c r="P117" i="3"/>
  <c r="P101" i="3"/>
  <c r="P85" i="3"/>
  <c r="P69" i="3"/>
  <c r="P53" i="3"/>
  <c r="P37" i="3"/>
  <c r="P5" i="3"/>
  <c r="Z268" i="3"/>
  <c r="Z264" i="3"/>
  <c r="Z256" i="3"/>
  <c r="Z252" i="3"/>
  <c r="Z236" i="3"/>
  <c r="Z228" i="3"/>
  <c r="Z220" i="3"/>
  <c r="Z212" i="3"/>
  <c r="Z192" i="3"/>
  <c r="Z184" i="3"/>
  <c r="Z176" i="3"/>
  <c r="Z168" i="3"/>
  <c r="Z160" i="3"/>
  <c r="Z152" i="3"/>
  <c r="Z144" i="3"/>
  <c r="Z124" i="3"/>
  <c r="Z116" i="3"/>
  <c r="Z108" i="3"/>
  <c r="Z100" i="3"/>
  <c r="Z92" i="3"/>
  <c r="Z84" i="3"/>
  <c r="Z76" i="3"/>
  <c r="Z68" i="3"/>
  <c r="Z64" i="3"/>
  <c r="Z56" i="3"/>
  <c r="Z48" i="3"/>
  <c r="Z40" i="3"/>
  <c r="Z32" i="3"/>
  <c r="Z24" i="3"/>
  <c r="Z16" i="3"/>
  <c r="Z8" i="3"/>
  <c r="Z253" i="3"/>
  <c r="Z38" i="3"/>
  <c r="Z114" i="3"/>
  <c r="Z272" i="3"/>
  <c r="Z216" i="3"/>
  <c r="Z208" i="3"/>
  <c r="Z200" i="3"/>
  <c r="Z156" i="3"/>
  <c r="Z148" i="3"/>
  <c r="Z140" i="3"/>
  <c r="Z132" i="3"/>
  <c r="Z198" i="3"/>
  <c r="Z274" i="3"/>
  <c r="Z190" i="3"/>
  <c r="Z270" i="3"/>
  <c r="Z275" i="3"/>
  <c r="Z271" i="3"/>
  <c r="Z267" i="3"/>
  <c r="Z263" i="3"/>
  <c r="Z259" i="3"/>
  <c r="Z255" i="3"/>
  <c r="Z247" i="3"/>
  <c r="Z243" i="3"/>
  <c r="Z239" i="3"/>
  <c r="Z235" i="3"/>
  <c r="Z231" i="3"/>
  <c r="Z227" i="3"/>
  <c r="Z223" i="3"/>
  <c r="Z215" i="3"/>
  <c r="Z211" i="3"/>
  <c r="Z207" i="3"/>
  <c r="Z203" i="3"/>
  <c r="Z199" i="3"/>
  <c r="Z195" i="3"/>
  <c r="Z191" i="3"/>
  <c r="Z183" i="3"/>
  <c r="Z179" i="3"/>
  <c r="Z175" i="3"/>
  <c r="Z171" i="3"/>
  <c r="Z167" i="3"/>
  <c r="Z159" i="3"/>
  <c r="Z151" i="3"/>
  <c r="Z147" i="3"/>
  <c r="Z27" i="3"/>
  <c r="T43" i="1" l="1"/>
  <c r="T80" i="1"/>
  <c r="T78" i="1"/>
  <c r="T17" i="1"/>
  <c r="T27" i="1"/>
  <c r="T61" i="1"/>
  <c r="Z133" i="3"/>
  <c r="Z11" i="3"/>
  <c r="Z43" i="3"/>
  <c r="Z59" i="3"/>
  <c r="Z107" i="3"/>
  <c r="Z6" i="3"/>
  <c r="Z50" i="3"/>
  <c r="Z158" i="3"/>
  <c r="T46" i="1"/>
  <c r="T74" i="1"/>
  <c r="T18" i="1"/>
  <c r="T79" i="1"/>
  <c r="T50" i="1"/>
  <c r="T54" i="1"/>
  <c r="T58" i="1"/>
  <c r="T62" i="1"/>
  <c r="T66" i="1"/>
  <c r="T70" i="1"/>
  <c r="T11" i="1"/>
  <c r="T59" i="1"/>
  <c r="T75" i="1"/>
  <c r="T42" i="1"/>
  <c r="T73" i="1"/>
  <c r="T57" i="1"/>
  <c r="T12" i="1"/>
  <c r="T34" i="1"/>
  <c r="T38" i="1"/>
  <c r="T49" i="1"/>
  <c r="T26" i="1"/>
  <c r="T30" i="1"/>
  <c r="T14" i="1"/>
  <c r="T10" i="1"/>
  <c r="T51" i="1"/>
  <c r="T47" i="1"/>
  <c r="T9" i="1"/>
  <c r="T41" i="1"/>
  <c r="T72" i="1"/>
  <c r="T7" i="1"/>
  <c r="T15" i="1"/>
  <c r="T19" i="1"/>
  <c r="T23" i="1"/>
  <c r="T31" i="1"/>
  <c r="T35" i="1"/>
  <c r="T39" i="1"/>
  <c r="T55" i="1"/>
  <c r="T63" i="1"/>
  <c r="T67" i="1"/>
  <c r="T71" i="1"/>
  <c r="T60" i="1"/>
  <c r="T65" i="1"/>
  <c r="T44" i="1"/>
  <c r="T6" i="1"/>
  <c r="T22" i="1"/>
  <c r="T33" i="1"/>
  <c r="T25" i="1"/>
  <c r="T28" i="1"/>
  <c r="T24" i="1"/>
  <c r="T45" i="1"/>
  <c r="T20" i="1"/>
  <c r="T52" i="1"/>
  <c r="T76" i="1"/>
  <c r="T5" i="1"/>
  <c r="T32" i="1"/>
  <c r="T53" i="1"/>
  <c r="T69" i="1"/>
  <c r="T8" i="1"/>
  <c r="T29" i="1"/>
  <c r="T16" i="1"/>
  <c r="T37" i="1"/>
  <c r="T77" i="1"/>
  <c r="T40" i="1"/>
  <c r="T48" i="1"/>
  <c r="T13" i="1"/>
  <c r="T56" i="1"/>
  <c r="T4" i="1"/>
  <c r="T36" i="1"/>
  <c r="T68" i="1"/>
  <c r="T21" i="1"/>
  <c r="T64" i="1"/>
  <c r="Z141" i="3"/>
  <c r="Z149" i="3"/>
  <c r="Z165" i="3"/>
  <c r="Z57" i="3"/>
  <c r="Z21" i="3"/>
  <c r="Z61" i="3"/>
  <c r="Z125" i="3"/>
  <c r="Z145" i="3"/>
  <c r="Z241" i="3"/>
  <c r="Z33" i="3"/>
  <c r="Z97" i="3"/>
  <c r="Z15" i="3"/>
  <c r="Z31" i="3"/>
  <c r="Z47" i="3"/>
  <c r="Z63" i="3"/>
  <c r="Z79" i="3"/>
  <c r="Z95" i="3"/>
  <c r="Z111" i="3"/>
  <c r="Z127" i="3"/>
  <c r="Z143" i="3"/>
  <c r="Z9" i="3"/>
  <c r="Z41" i="3"/>
  <c r="Z81" i="3"/>
  <c r="Z121" i="3"/>
  <c r="Z19" i="3"/>
  <c r="Z51" i="3"/>
  <c r="Z83" i="3"/>
  <c r="Z115" i="3"/>
  <c r="Z25" i="3"/>
  <c r="Z45" i="3"/>
  <c r="Z65" i="3"/>
  <c r="Z89" i="3"/>
  <c r="Z109" i="3"/>
  <c r="Z129" i="3"/>
  <c r="Z7" i="3"/>
  <c r="Z23" i="3"/>
  <c r="Z35" i="3"/>
  <c r="Z39" i="3"/>
  <c r="Z55" i="3"/>
  <c r="Z67" i="3"/>
  <c r="Z71" i="3"/>
  <c r="Z87" i="3"/>
  <c r="Z99" i="3"/>
  <c r="Z103" i="3"/>
  <c r="Z119" i="3"/>
  <c r="Z131" i="3"/>
  <c r="Z135" i="3"/>
  <c r="Z26" i="3"/>
  <c r="Z58" i="3"/>
  <c r="Z90" i="3"/>
  <c r="Z122" i="3"/>
  <c r="Z154" i="3"/>
  <c r="Z186" i="3"/>
  <c r="Z218" i="3"/>
  <c r="Z72" i="3"/>
  <c r="Z88" i="3"/>
  <c r="Z104" i="3"/>
  <c r="Z120" i="3"/>
  <c r="Z240" i="3"/>
  <c r="Z157" i="3"/>
  <c r="Z173" i="3"/>
  <c r="Z17" i="3"/>
  <c r="Z77" i="3"/>
  <c r="Z5" i="3"/>
  <c r="Z37" i="3"/>
  <c r="Z53" i="3"/>
  <c r="Z69" i="3"/>
  <c r="Z85" i="3"/>
  <c r="Z101" i="3"/>
  <c r="Z117" i="3"/>
  <c r="Z29" i="3"/>
  <c r="Z49" i="3"/>
  <c r="Z93" i="3"/>
  <c r="Z113" i="3"/>
  <c r="Z137" i="3"/>
  <c r="Z10" i="3"/>
  <c r="Z14" i="3"/>
  <c r="Z18" i="3"/>
  <c r="Z22" i="3"/>
  <c r="Z30" i="3"/>
  <c r="Z34" i="3"/>
  <c r="Z42" i="3"/>
  <c r="Z46" i="3"/>
  <c r="Z54" i="3"/>
  <c r="Z70" i="3"/>
  <c r="Z78" i="3"/>
  <c r="Z82" i="3"/>
  <c r="Z86" i="3"/>
  <c r="Z94" i="3"/>
  <c r="Z98" i="3"/>
  <c r="Z106" i="3"/>
  <c r="Z110" i="3"/>
  <c r="Z118" i="3"/>
  <c r="Z126" i="3"/>
  <c r="Z134" i="3"/>
  <c r="Z142" i="3"/>
  <c r="Z146" i="3"/>
  <c r="Z150" i="3"/>
  <c r="Z162" i="3"/>
  <c r="Z170" i="3"/>
  <c r="Z174" i="3"/>
  <c r="Z182" i="3"/>
  <c r="Z202" i="3"/>
  <c r="Z206" i="3"/>
  <c r="Z210" i="3"/>
  <c r="Z214" i="3"/>
  <c r="Z222" i="3"/>
  <c r="Z226" i="3"/>
  <c r="Z242" i="3"/>
  <c r="Z262" i="3"/>
  <c r="Z248" i="3"/>
  <c r="Z181" i="3"/>
  <c r="Z136" i="3"/>
  <c r="Z204" i="3"/>
  <c r="Z205" i="3"/>
  <c r="Z237" i="3"/>
  <c r="Z269" i="3"/>
  <c r="Z12" i="3"/>
  <c r="Z172" i="3"/>
  <c r="Z188" i="3"/>
  <c r="Z224" i="3"/>
  <c r="Z73" i="3"/>
  <c r="Z66" i="3"/>
  <c r="Z130" i="3"/>
  <c r="Z194" i="3"/>
  <c r="Z80" i="3"/>
  <c r="Z96" i="3"/>
  <c r="Z112" i="3"/>
  <c r="Z213" i="3"/>
  <c r="Z245" i="3"/>
  <c r="Z36" i="3"/>
  <c r="Z164" i="3"/>
  <c r="Z180" i="3"/>
  <c r="Z13" i="3"/>
  <c r="Z128" i="3"/>
  <c r="Z189" i="3"/>
  <c r="Z221" i="3"/>
  <c r="Z28" i="3"/>
  <c r="Z60" i="3"/>
  <c r="Z232" i="3"/>
  <c r="Z105" i="3"/>
  <c r="Z44" i="3"/>
  <c r="Z196" i="3"/>
  <c r="Z197" i="3"/>
  <c r="Z229" i="3"/>
  <c r="Z261" i="3"/>
  <c r="Z4" i="3"/>
  <c r="Z20" i="3"/>
  <c r="Z52" i="3"/>
</calcChain>
</file>

<file path=xl/sharedStrings.xml><?xml version="1.0" encoding="utf-8"?>
<sst xmlns="http://schemas.openxmlformats.org/spreadsheetml/2006/main" count="5175" uniqueCount="385">
  <si>
    <t>&lt;tr&gt;&lt;th&gt;</t>
  </si>
  <si>
    <t>Mat code</t>
  </si>
  <si>
    <t>&lt;/th&gt;</t>
  </si>
  <si>
    <t>Mat Description</t>
  </si>
  <si>
    <t>&lt;th&gt;</t>
  </si>
  <si>
    <t>Item Size in L</t>
  </si>
  <si>
    <t>RSP/L</t>
  </si>
  <si>
    <t>Disc/L</t>
  </si>
  <si>
    <t>Market Support /L</t>
  </si>
  <si>
    <t>MSS/L</t>
  </si>
  <si>
    <t>Invoice rate/L</t>
  </si>
  <si>
    <t>Invoice rate/Item</t>
  </si>
  <si>
    <t>&lt;/td&gt;&lt;/tr&gt;</t>
  </si>
  <si>
    <t>&lt;tr&gt; &lt;td&gt;</t>
  </si>
  <si>
    <t>&lt;/td&gt;&lt;td&gt;</t>
  </si>
  <si>
    <t>SERVO FUTURA SYNTH 0W-40-210 L BRL</t>
  </si>
  <si>
    <t>ECSTAR PETROL 0W-20-210 L</t>
  </si>
  <si>
    <t>ECSTAR DIESEL 5W-30-210 L</t>
  </si>
  <si>
    <t>MGDO 15W-40 - 210 L BRL</t>
  </si>
  <si>
    <t>MGO 5W-30-210 L BRL</t>
  </si>
  <si>
    <t>HY.SERVO ENGINE OIL 5W-30-210 L BRL</t>
  </si>
  <si>
    <t>HYUNDAI SERVO SUPERIOR 0W30-210 L</t>
  </si>
  <si>
    <t>HY SERVO PETROL EO SN PLUS-210 L</t>
  </si>
  <si>
    <t>HYUNDAI SERVO DEO ACEA C5-210 L</t>
  </si>
  <si>
    <t>HY.SERVO PRM.EO SM 5W-30-210 L BRL</t>
  </si>
  <si>
    <t>HYUNDAI SERVO SYNTH 0W-30 API SP/ ACEA C3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</si>
  <si>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</si>
  <si>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</si>
  <si>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</si>
  <si>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</si>
  <si>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</si>
  <si>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SERVO SUPERIOR EO 0W20 ACEA C5-210 L</t>
  </si>
  <si>
    <t>SERVO SUPERIOR EO 5W30 ACEA A5/B5-210 L</t>
  </si>
  <si>
    <t>SERVO SUPERIOR EO 0W20 SN PLUS-210 L</t>
  </si>
  <si>
    <t>SERVO MG HECTOR PETROL ENGINE OIL-210 L</t>
  </si>
  <si>
    <t>SERVO MG HECTOR DIESEL ENGINE OIL-210 L</t>
  </si>
  <si>
    <t>SERVO MG GLOSTER DIESEL EO-210 L</t>
  </si>
  <si>
    <t>SERVO ULTRA 10W - 210L BRL</t>
  </si>
  <si>
    <t>SERVO PRIDE 40 - 210L BRL</t>
  </si>
  <si>
    <t>SERVO PRIDE NXT CK4 15W40-210 L BRL</t>
  </si>
  <si>
    <t>SERVO FLEET SUPREME CI4 PLUS 15W-40- 210 L</t>
  </si>
  <si>
    <t>SERVO FLT CF4 15W-40-210 L BRL</t>
  </si>
  <si>
    <t>SERVO SUPER 20W-40 MG-210 L BRL</t>
  </si>
  <si>
    <t>SERVO PRIDE XL PLUS 15W40-50 L</t>
  </si>
  <si>
    <t>SERVO PRIDE XL PLUS 15W40-210 L BRL</t>
  </si>
  <si>
    <t>SERVO SUP.MULT.GRD 20W-40-210 L BRL</t>
  </si>
  <si>
    <t>SERVO PREMIUM CF-4 15W-40-50L HDPE DRUM</t>
  </si>
  <si>
    <t>SERVO PREMIUM CF-4 15W-40 - 210L BRL</t>
  </si>
  <si>
    <t>SERVO PRIDE XL 15W-40 - 210L BRL</t>
  </si>
  <si>
    <t>SERVO GEAR HP 90 - 210L BRL</t>
  </si>
  <si>
    <t>SERVO GEAR HP 140-210L BRL</t>
  </si>
  <si>
    <t>SERVO TRANSFLUID A - 210L BRL</t>
  </si>
  <si>
    <t>SERVO TRANSMISSION C4 SAE 30-210L BRL</t>
  </si>
  <si>
    <t>SERVO GEAR SUPER 80W-90 - 210L BRL</t>
  </si>
  <si>
    <t>SERVO GEAR SUPER 85W-140-210L BRL</t>
  </si>
  <si>
    <t xml:space="preserve">SERVO OIB OIL-26 L </t>
  </si>
  <si>
    <t>SERVO OIB OIL-210 L BRL</t>
  </si>
  <si>
    <t>SERVO AGROSPRAY T - 210L BRL</t>
  </si>
  <si>
    <t>SERVO 2T SUPREME-210 L BRL</t>
  </si>
  <si>
    <t>SERVO 2T SUPREME-210 L HD</t>
  </si>
  <si>
    <t>SERVO GREASE MP-182 KG DRM</t>
  </si>
  <si>
    <t>SERVOGREASE MP 3 - 182 KG DRM</t>
  </si>
  <si>
    <t>SERVO GEM RR 3-182 KG DRM</t>
  </si>
  <si>
    <t>SERVO LONG LIFE GREASE-182 KG DRM</t>
  </si>
  <si>
    <t>SERVOGREASE MIRACLE 3-182 KG</t>
  </si>
  <si>
    <t>SERVO KOOL PLUS -210L BRL</t>
  </si>
  <si>
    <t>SERVO BRAKE FLUID SUPER HD  - 210L BRL</t>
  </si>
  <si>
    <t>SERVOGEM EP 2-182 KG DRM</t>
  </si>
  <si>
    <t>SERVOHYDRASHAKTI 68-26 L</t>
  </si>
  <si>
    <t>SERVOSYSTEM 68 - 50L HDPE</t>
  </si>
  <si>
    <t>SERVOSYSTEM 68-26 L</t>
  </si>
  <si>
    <t>SERVOSYSTEM 32 - 210L BRL</t>
  </si>
  <si>
    <t>SERVOSYSTEM 46 - 210L BRL</t>
  </si>
  <si>
    <t>SERVOSYSTEM 68 - 210L BRL</t>
  </si>
  <si>
    <t>SERVOSYSTEM 100-210 L HD</t>
  </si>
  <si>
    <t>SERVOSYSTEM 220 - 210L BRL</t>
  </si>
  <si>
    <t>SERVOSYSTEM 320 - 210L BRL</t>
  </si>
  <si>
    <t>SERVOSYSTEM 150 - 210L BRL</t>
  </si>
  <si>
    <t>SERVOHYDREX TH 46-210L BRL</t>
  </si>
  <si>
    <t>SERVOSYSTEM HLP 32 - 210L BRL</t>
  </si>
  <si>
    <t>SERVOSYSTEM HLP 46 - 210L BRL</t>
  </si>
  <si>
    <t>SERVOSYSTEM HLP 68 - 210L BRL</t>
  </si>
  <si>
    <t>SERVOPRIME 46 - 210L BRL</t>
  </si>
  <si>
    <t>SERVOPRIME 57 - 210L BRL</t>
  </si>
  <si>
    <t>SERVOMESH SP 320 - 210L BRL</t>
  </si>
  <si>
    <t>SERVOMESH SP 220 - 210L BRL</t>
  </si>
  <si>
    <t>SERVOFRIZ NH 68 - 210 L BRL</t>
  </si>
  <si>
    <t>SERVOTHERM SPECIAL-210L BRL</t>
  </si>
  <si>
    <t>SERVOTHERM S SPECIAL-210 L BRL</t>
  </si>
  <si>
    <t>SERVOCUT S - 210L BRL</t>
  </si>
  <si>
    <t>SERVOELECTRA - 210L BRL</t>
  </si>
  <si>
    <t>IOC CLEARBLUE-210 L HD</t>
  </si>
  <si>
    <t>MRP/Pc</t>
  </si>
  <si>
    <t>DLP/Pc</t>
  </si>
  <si>
    <t>SUMMER/BONANZA SCHEME /L</t>
  </si>
  <si>
    <t>Invoice rate/ Item</t>
  </si>
  <si>
    <t>Margin/ Item</t>
  </si>
  <si>
    <t>Margin/L</t>
  </si>
  <si>
    <t>Margin %</t>
  </si>
  <si>
    <t>Per case</t>
  </si>
  <si>
    <t>MGGO 80W-90 - 4 X 2.1 L</t>
  </si>
  <si>
    <t>SERVO FUTURA SYNTH 0W-40-20 X 1 L</t>
  </si>
  <si>
    <t>SERVO FUTURA SYNTH 0W-40-4 x 4 L</t>
  </si>
  <si>
    <t>ECSTAR PETROL 0W-20-4 X 3.5 L</t>
  </si>
  <si>
    <t>ECSTAR DIESEL 5W-30-4 X 3.5 L</t>
  </si>
  <si>
    <t>MGO 20W-40 - 20 X 1 L</t>
  </si>
  <si>
    <t>MGO 20W-40 - 4 X 3 L</t>
  </si>
  <si>
    <t>MGDO 15W-40 - 4 X 3.5 L</t>
  </si>
  <si>
    <t>MGO 5W-30-4 X 3 L</t>
  </si>
  <si>
    <t>MGO 5W-30-4x3.5L HDPE</t>
  </si>
  <si>
    <t>HYUNDAI S.GEAR OIL 75W-85-4X2.5L-HDPE</t>
  </si>
  <si>
    <t>HYUNDAI SERVO BRAKE OIL - 20x1/2L - HDPE</t>
  </si>
  <si>
    <t>HY SERVO SYNTH 0W-30 SP/C3-4 X 3.5 L</t>
  </si>
  <si>
    <t>HY.SERVO SYNTH PLUS 5W-30-4x3.5L HDPE</t>
  </si>
  <si>
    <t>HY.SERVO ENGINE OIL 5W-30-4x3.5L</t>
  </si>
  <si>
    <t>HYUNDAI SERVO STEERING OIL-20x1L-HDPE-NE</t>
  </si>
  <si>
    <t>HYUNDAI SERVO SUPERIOR 0W30-4 X 4 L</t>
  </si>
  <si>
    <t>HY SERVO PETROL EO SN PLUS-4 X 3.5 L</t>
  </si>
  <si>
    <t>HY SERVO PETROL EO SN PLUS-4 X 4 L</t>
  </si>
  <si>
    <t>HYUNDAI SERVO DEO ACEA C5-4 X 5 L</t>
  </si>
  <si>
    <t>HY.SERVO PRM.EO SM 5W-30-4X3 L</t>
  </si>
  <si>
    <t>HYUNDAI SERVO COOLANT 50-20 X 1 L</t>
  </si>
  <si>
    <t>HYUNDAI SERVO COOLANT LL-20 X 1 L</t>
  </si>
  <si>
    <t>HYUNDAI SERVO CRDi PREM.ENG.OIL 4X5L-HDP</t>
  </si>
  <si>
    <t>HYU SERVO BRAKE FLUID DOT 4 LV-20 X 1 L</t>
  </si>
  <si>
    <t>SERVO MG R AXLE REDUCER FLUID-20 X 1 L</t>
  </si>
  <si>
    <t>SERVO MG HECTOR DIESEL ENGINE OIL-4 X5 L</t>
  </si>
  <si>
    <t>SERVO MG HECTOR PETROL EO-4 X 4 L</t>
  </si>
  <si>
    <t>SERVO MG GLOSTER DIESEL EO-4 X 5 L LUBE</t>
  </si>
  <si>
    <t>SERVO PRIDE ALT PLUS 15W-40-11 L</t>
  </si>
  <si>
    <t>SERVO PRIDE ALT PLUS 15W-40-16 L</t>
  </si>
  <si>
    <t>SERVO PRIDE ALT PLUS 15W-40 -20 X 1 L</t>
  </si>
  <si>
    <t>TRU4 KRAAFT-10 X 0.9 L</t>
  </si>
  <si>
    <t>TRU4 KRAAFT-10 X 1 L</t>
  </si>
  <si>
    <t>SERVO HONDA JOSH-20 X 0.9 L</t>
  </si>
  <si>
    <t>SERVO HONDA JOSH-20 X 1 L</t>
  </si>
  <si>
    <t>SERVO HONDA SCOOTONXT-20 X 0.8 L</t>
  </si>
  <si>
    <t>SERVO PRIDE 40 - 20x1L - HDPE</t>
  </si>
  <si>
    <t>SERVO PRIDE 40 - 4x5L - HDPE</t>
  </si>
  <si>
    <t>SERVO PRIDE 40 - 10L BUC</t>
  </si>
  <si>
    <t>SERVO PRIDE 40-20L BUC</t>
  </si>
  <si>
    <t>SERVO GAS ENGINE OIL - 20x1L - HDPE</t>
  </si>
  <si>
    <t>SERVO GAS ENGINE OIL-4X3L-HDPE</t>
  </si>
  <si>
    <t>SERVO GAS ENGINE OIL-20 X 1 L PROMO</t>
  </si>
  <si>
    <t>SERVO RAFTAAR-15 L</t>
  </si>
  <si>
    <t>SERVO SUPERMILE 10W-30-20 X 1 L</t>
  </si>
  <si>
    <t>SERVO SUPERMILE 10W-30-4 X 5 L PROMO</t>
  </si>
  <si>
    <t>SERVO SUPERMILE 10W-30-4 X 6 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</si>
  <si>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</si>
  <si>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</si>
  <si>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</si>
  <si>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</si>
  <si>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</si>
  <si>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</si>
  <si>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</si>
  <si>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</si>
  <si>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</si>
  <si>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</si>
  <si>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</si>
  <si>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 FLEET SUPREME CI4PLUS 15W-40-20 X 1 L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</si>
  <si>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</si>
  <si>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</si>
  <si>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</si>
  <si>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</si>
  <si>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</si>
  <si>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</si>
  <si>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</si>
  <si>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SERVO SUPER 20W-40 MG-40X1/2L</t>
  </si>
  <si>
    <t>SERVO SUPER 20W-40 MG-20 X 1 L</t>
  </si>
  <si>
    <t>SERVO SUPER 20W-40 MG-4x5L - HDPE</t>
  </si>
  <si>
    <t>SERVO SUPER 20W-40 MG-10 L</t>
  </si>
  <si>
    <t>SERVO SUPER 20W-40 MG-7.5 L</t>
  </si>
  <si>
    <t>SERVO SUPER 20W-40 MG-20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</si>
  <si>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</si>
  <si>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</si>
  <si>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</si>
  <si>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</si>
  <si>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</si>
  <si>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</si>
  <si>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</si>
  <si>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SUP.MULT.GRD 20W-40-40X1/2L</t>
  </si>
  <si>
    <t>SERVO SUP.MULT.GRD 20W-40-20 X 1 L</t>
  </si>
  <si>
    <t>SERVO SUP.MULT.GRD 20W-40-4x5L - HDPE</t>
  </si>
  <si>
    <t>SERVO SUP.MULT.GRD 20W-40-10 L</t>
  </si>
  <si>
    <t>SERVO SUP.MULT.GRD 20W-40-7.5 L</t>
  </si>
  <si>
    <t>SERVO SUP.MULT.GRD 20W-40-20 L</t>
  </si>
  <si>
    <t>SERVO AUTORIKSHAW OIL 20W-40-4X2.5HDPE</t>
  </si>
  <si>
    <t>SERVO CHHAKADA ENG OIL 20W-40-20X1.2L LI</t>
  </si>
  <si>
    <t>SERVO PRIDE TC 15W40 - 20X1L-HDPE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</si>
  <si>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</si>
  <si>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</si>
  <si>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</si>
  <si>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</si>
  <si>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</si>
  <si>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</si>
  <si>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</si>
  <si>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</si>
  <si>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15W40 - 20L BUC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</si>
  <si>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</si>
  <si>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</si>
  <si>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</si>
  <si>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</si>
  <si>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BUC</t>
  </si>
  <si>
    <t>SERVO PREMIUM CF-4 15W-40-7.5 L</t>
  </si>
  <si>
    <t>SERVO PREMIUM CF-4 15W-40-15 L</t>
  </si>
  <si>
    <t>SERVO PREMIUM CF 4 15W 40-20L BUC</t>
  </si>
  <si>
    <t>SERVO GEAR HP 90-40X1/2L-HDPE</t>
  </si>
  <si>
    <t>SERVO GEAR HP 90-20X1L-HDPE</t>
  </si>
  <si>
    <t>SERVO GEAR HP 90 - 4x5L - HDPE</t>
  </si>
  <si>
    <t>SERVO GEAR HP 90-20L BUC</t>
  </si>
  <si>
    <t>SERVO GEAR HP 140 - 20x1L - HDPE</t>
  </si>
  <si>
    <t>SERVO GEAR HP 140 - 4x5L - HDPE</t>
  </si>
  <si>
    <t>SERVO GEAR HP 140-20L BUC</t>
  </si>
  <si>
    <t>SERVO TRANSFLUID A-20X1/2 L</t>
  </si>
  <si>
    <t>SERVO TRANSFLUID A-20X1L-HDPE</t>
  </si>
  <si>
    <t>SERVO TRANSFLUID A-4X5L-HDPE</t>
  </si>
  <si>
    <t>SERVO GEAR SUPER 80W-90 - 20 X 1 L HDPE</t>
  </si>
  <si>
    <t>SERVO GEAR SUPER 80W-90 - 4 X 5 L HDPE</t>
  </si>
  <si>
    <t>SERVO GEAR SUPER 80W-90-4 X 5 L PROMO</t>
  </si>
  <si>
    <t>SERVO GEAR SUPER 80W-90-7.5 L</t>
  </si>
  <si>
    <t>SERVO GEAR SUPER 80W-90-20 L PROMO</t>
  </si>
  <si>
    <t>SERVO GEAR SUPER 85W-140 - 20 X 1 L HDPE</t>
  </si>
  <si>
    <t>SERVO GEAR SUPER 85W-140-4 X 5 L PROMO</t>
  </si>
  <si>
    <t>SERVO GEAR SUPER 85W-140-20 L BUC</t>
  </si>
  <si>
    <t>SERVO GEAR SUPER 85W-140-20 L PROMO</t>
  </si>
  <si>
    <t>SERVO PUMP SET OIL 20W-40 - 4x3.5L</t>
  </si>
  <si>
    <t>SERVO SUPER PUMP SO 40-4x3.5L HDPE</t>
  </si>
  <si>
    <t>SERVO OIB OIL-20 X 1 L</t>
  </si>
  <si>
    <t>SERVO OIB OIL-4x5L - HDPE</t>
  </si>
  <si>
    <t>SERVO OIB OIL -20L PROMO</t>
  </si>
  <si>
    <t>SERVO TILLER SUPER 20W-40-4 X 3.5 L</t>
  </si>
  <si>
    <t>SERVO TRCTR OIL PLS 15W40-7.5 L</t>
  </si>
  <si>
    <t>SERVO TRCTR OIL PLS 15W40-8.5 L BUC</t>
  </si>
  <si>
    <t>SERVO TRACTOR OIL MG 20W-40-7.5L PROMO</t>
  </si>
  <si>
    <t>SERVO TRACTOR GREEN-7.5 L</t>
  </si>
  <si>
    <t>SERVO TRACTOR GREEN-8.5 L</t>
  </si>
  <si>
    <t>SERVO AGROSPRAY T - 20 L BUC</t>
  </si>
  <si>
    <t>SERVO ORCHARD SPRAY OIL-4x5L - HDPE</t>
  </si>
  <si>
    <t>SERVO ORCHARD SPRAY OIL - 10 L BUC</t>
  </si>
  <si>
    <t>SERVO ORCHARD SPRAY OIL - 20 L BUC</t>
  </si>
  <si>
    <t xml:space="preserve">SERVO MKM TRACTOR OIL-20 X 1 L </t>
  </si>
  <si>
    <t>SERVO MKM TRACTOR OIL-7.5 L</t>
  </si>
  <si>
    <t>SERVO 4T GREEN-20 X 0.9 L</t>
  </si>
  <si>
    <t>SERVO 4T GREEN-20 X 1 L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</si>
  <si>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</si>
  <si>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</si>
  <si>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</si>
  <si>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</si>
  <si>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</si>
  <si>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</si>
  <si>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</si>
  <si>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</si>
  <si>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 xml:space="preserve">SERVO 4T XTRA 20W-50-20 X 0.9 L PROMO </t>
  </si>
  <si>
    <t>SERVO 4T XTRA 20W-50-20 X 1 L PROMO</t>
  </si>
  <si>
    <t>SERVO SCOOTOMATIC XTRA 5W-30 - 20 X 0.6 L</t>
  </si>
  <si>
    <t>SERVO SCOOTOMATIC 4ST 10W-30-20 X 0.8 L</t>
  </si>
  <si>
    <t>SERVO 4T-20x0.9 L CAR</t>
  </si>
  <si>
    <t>SERVO 4T-20X1L-HDPE</t>
  </si>
  <si>
    <t>SERVO 4T - 20 X 1 L HDPE PROMO</t>
  </si>
  <si>
    <t>SERVO 4T - 20 X 0.9 L HDPE PROMO</t>
  </si>
  <si>
    <t>SERVO 4T 20W-50-20 X 1 L</t>
  </si>
  <si>
    <t>SERVO 4T 20W-50-20 X 1.2 L</t>
  </si>
  <si>
    <t>SERVO 4T 20W-50-20 X 1 L PROMO</t>
  </si>
  <si>
    <t>SERVO 4T ZOOM 10W-30 - 20 X 0.9 L HDPE</t>
  </si>
  <si>
    <t>SERVO 4T ZOOM 10W-30-20 X 1 L PROMO</t>
  </si>
  <si>
    <t>SERVO 4T ZOOM 10W-30-20X0.9 L HDPE PROMO</t>
  </si>
  <si>
    <t>SERVO 4T 10W-30-20 X 1 L PROMO</t>
  </si>
  <si>
    <t>SERVO 4T 10W-30-20 X 0.9 L PROMO</t>
  </si>
  <si>
    <t>SERVO 4T SYNTH-20 X 1 L</t>
  </si>
  <si>
    <t>SERVO 4T HD-4 X 2.5 L</t>
  </si>
  <si>
    <t>SERVO 4T HD-20 X 1.2 L</t>
  </si>
  <si>
    <t>SERVO FUTURA G PLUS 5W-30-4 X 3 L PROMO</t>
  </si>
  <si>
    <t>SERVO FUTURA G PLUS 5W-30-4 X 3.5 L</t>
  </si>
  <si>
    <t>SERVO FUTURA G PLUS 5W-30-4X3.5 L PROMO</t>
  </si>
  <si>
    <t>SERVO FUTURA G PLUS 5W-30-20 X 1 L</t>
  </si>
  <si>
    <t>SERVO GREENMILE-4 X 3.5 L</t>
  </si>
  <si>
    <t>SERVO FUTURA NXT 0W-16-4 X 3.5 L</t>
  </si>
  <si>
    <t>SERVO FUTURA NXT 0W-16-4X3.5 L PROMO</t>
  </si>
  <si>
    <t>SERVO BLACKBIRD X-10 X 1 L HDPE</t>
  </si>
  <si>
    <t>SERVO BLACKBIRD X-4X3.5 L PROMO</t>
  </si>
  <si>
    <t>SERVO BLACKBIRD X-4 x 4 L PROMO</t>
  </si>
  <si>
    <t>SERVO 2T SUPREME-600 X 20 ML</t>
  </si>
  <si>
    <t>SERVO 2T SUPREME(JFC)-300x40ML - POU</t>
  </si>
  <si>
    <t>SERVO 2T SUPREME (JFC) - 200X60ML - POU</t>
  </si>
  <si>
    <t>SERVO 2T SUPREME-20X1/4 L</t>
  </si>
  <si>
    <t>SERVO 2T SUPREME-20X1/2 L</t>
  </si>
  <si>
    <t>SERVO 2T SUPREME-20 X 1 L</t>
  </si>
  <si>
    <t>SERVO GREASE MP-20 KG BUC</t>
  </si>
  <si>
    <t>SERVO GREASE MP 3 - 20 X 1/2 KG CTN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</si>
  <si>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</si>
  <si>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</si>
  <si>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</si>
  <si>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</si>
  <si>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</si>
  <si>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</si>
  <si>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GEM RR 3 - 20 X 1/2 KG CTN</t>
  </si>
  <si>
    <t>SERVO GEM RR 3 - 10 X 1 KG CTN</t>
  </si>
  <si>
    <t>SERVO GEM RR 3-6X2 KG TUB</t>
  </si>
  <si>
    <t>SERVO GEM RR 3-4X3 KG</t>
  </si>
  <si>
    <t>SERVO GEM RR 3 - 20 KG. BUC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</si>
  <si>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</si>
  <si>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</si>
  <si>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</si>
  <si>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</si>
  <si>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GREASE-2 X 5 KG</t>
  </si>
  <si>
    <t>SERVO LONG LIFE GREASE-20 KG</t>
  </si>
  <si>
    <t>SERVO LONG LIFE GREASE-7 KG</t>
  </si>
  <si>
    <t>SERVO LONG LIFE GREASE-10 KG BUC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</si>
  <si>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</si>
  <si>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</si>
  <si>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</si>
  <si>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</si>
  <si>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</si>
  <si>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 xml:space="preserve">SERVOGREASE MIRACLE 3-7 KG </t>
  </si>
  <si>
    <t xml:space="preserve">SERVOGREASE MIRACLE 3-10 KG BUC </t>
  </si>
  <si>
    <t>SERVOGREASE MIRACLE 3-20 KG</t>
  </si>
  <si>
    <t>SERVO BRAKE FLUID SUPER HD - 20X1/4L-HDP</t>
  </si>
  <si>
    <t>SERVO BRAKE FLUID SUPER HD -20X1/2L-HDPE</t>
  </si>
  <si>
    <t>SERVO TROPIKOOL-20 X 1 L</t>
  </si>
  <si>
    <t>SERVO TROPIKOOL READY-20 X 1 L</t>
  </si>
  <si>
    <t>SERVO KOOL PLUS - 20X1/4L-HDPE</t>
  </si>
  <si>
    <t>SERVO KOOL PLUS-20X1/2L-HDPE</t>
  </si>
  <si>
    <t>SERVO KOOL PLUS-20X1L-HDPE</t>
  </si>
  <si>
    <t>SERVO KOOL PLUS-10X1L-HDPE</t>
  </si>
  <si>
    <t>SERVO KOOL READY-10X1L-HDPE</t>
  </si>
  <si>
    <t>SERVO BRAKE FLUID DOT 4-20 X 1/4 L</t>
  </si>
  <si>
    <t>SERVO BRAKE FLUID DOT 4-20 X 1/2 L</t>
  </si>
  <si>
    <t>SERVO KOOL READY-20X1L-HDPE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</si>
  <si>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</si>
  <si>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</si>
  <si>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</si>
  <si>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</si>
  <si>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</si>
  <si>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SERVOMESH SP 320-20 L</t>
  </si>
  <si>
    <t>SERVOMESH SP 220-20 L</t>
  </si>
  <si>
    <t>SERVOHYDRASHAKTI 68-20 L</t>
  </si>
  <si>
    <t>SERVO EXCAVATOR TH 46 20 L</t>
  </si>
  <si>
    <t>SERVOHYDREX TH 46 PLUS-20 L</t>
  </si>
  <si>
    <t>SERVOHYDREX TH 46-20L BUC</t>
  </si>
  <si>
    <t>SERVOSYSTEM HLP 68-20L BUC</t>
  </si>
  <si>
    <t>SERVOCUT S - 20L BUC</t>
  </si>
  <si>
    <t>SERVOELECTRA-20 L</t>
  </si>
  <si>
    <t>MAHINDRA EM BRAKEFLUID-20 X 1 L</t>
  </si>
  <si>
    <t>MAHINDRA EM HYDRAULIC OIL-20 L</t>
  </si>
  <si>
    <t>MAHINDRA EM TRNSMISON OIL-10 L</t>
  </si>
  <si>
    <t>MAHINDRA EM TRNSMISON OIL-15 L</t>
  </si>
  <si>
    <t>MAHINDRA EM GREASE-5 KG</t>
  </si>
  <si>
    <t>MAHINDRA EM GREASE-20 KG</t>
  </si>
  <si>
    <t>MAHINDRA EM REAR AXLE OIL-18 L</t>
  </si>
  <si>
    <t>IOC CLEARBLUE-10 L</t>
  </si>
  <si>
    <t>IOC CLEARBLUE-20 L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</si>
  <si>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</si>
  <si>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</si>
  <si>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</si>
  <si>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</si>
  <si>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</si>
  <si>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</si>
  <si>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</si>
  <si>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</si>
  <si>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</si>
  <si>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</si>
  <si>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</si>
  <si>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</si>
  <si>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</si>
  <si>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</si>
  <si>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</si>
  <si>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</si>
  <si>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{ name: "</t>
  </si>
  <si>
    <t>},</t>
  </si>
  <si>
    <t>", code:"</t>
  </si>
  <si>
    <t>", uom:</t>
  </si>
  <si>
    <t>SERVO FUTURA NXT 0W-16-4X3.5 L PROMO LUBE</t>
  </si>
  <si>
    <t>ECSTAR PETROL 0W-16 FE-210 L</t>
  </si>
  <si>
    <t>S FLEET SUPREME CI4PLUS 15W-40-210 L</t>
  </si>
  <si>
    <t>SERVO FLEET CF4 15W-40 - 20 X 1 L</t>
  </si>
  <si>
    <t>SERVO GREENMILE-4 X 3.5 L LUBE</t>
  </si>
  <si>
    <t>SERVO PREMIUM CF-4 15W-40-4x5L - PROMO</t>
  </si>
  <si>
    <t>SERVOSYSTEM 68-210 L HD</t>
  </si>
  <si>
    <t>}</t>
  </si>
  <si>
    <t>SERVO HYPERSPORT F5-10 X 1 L</t>
  </si>
  <si>
    <t>SERVO HYPERSPORT F5-10 X 1 L PROMO</t>
  </si>
  <si>
    <t>SERVO HYPERSPORT F5-10 X 1.2 L PROMO</t>
  </si>
  <si>
    <t>SERVO HYPERSPORT F5-4 X 2.5 L</t>
  </si>
  <si>
    <t>SERVO HYPERSPORT F5-4 X 2.8 L</t>
  </si>
  <si>
    <t>SERVOGEM EP 2-20 KG BUC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</si>
</sst>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/>
    </xf>
    <xf numFmtId="1" fontId="3" fillId="0" borderId="1" xfId="0" applyNumberFormat="1" applyFont="1" applyBorder="1"/>
    <xf numFmtId="1" fontId="3" fillId="2" borderId="1" xfId="0" applyNumberFormat="1" applyFont="1" applyFill="1" applyBorder="1"/>
    <xf numFmtId="0" fontId="1" fillId="0" borderId="1" xfId="0" applyFont="1" applyBorder="1" applyAlignment="1">
      <alignment vertical="top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0" borderId="1" xfId="0" applyBorder="1"/>
    <xf numFmtId="0" fontId="5" fillId="3" borderId="1" xfId="0" applyFont="1" applyFill="1" applyBorder="1"/>
    <xf numFmtId="1" fontId="5" fillId="0" borderId="1" xfId="0" applyNumberFormat="1" applyFont="1" applyBorder="1"/>
    <xf numFmtId="1" fontId="5" fillId="2" borderId="1" xfId="0" applyNumberFormat="1" applyFont="1" applyFill="1" applyBorder="1"/>
    <xf numFmtId="1" fontId="5" fillId="0" borderId="1" xfId="0" applyNumberFormat="1" applyFont="1" applyBorder="1" applyAlignment="1">
      <alignment vertical="top"/>
    </xf>
    <xf numFmtId="0" fontId="0" fillId="0" borderId="2" xfId="0" applyBorder="1"/>
    <xf numFmtId="0" fontId="5" fillId="3" borderId="2" xfId="0" applyFont="1" applyFill="1" applyBorder="1"/>
    <xf numFmtId="1" fontId="5" fillId="0" borderId="2" xfId="0" applyNumberFormat="1" applyFont="1" applyBorder="1"/>
    <xf numFmtId="1" fontId="5" fillId="2" borderId="2" xfId="0" applyNumberFormat="1" applyFont="1" applyFill="1" applyBorder="1"/>
    <xf numFmtId="1" fontId="5" fillId="0" borderId="2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7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A5D8-6A7A-4BAF-AD0B-383BDCBB0AE1}">
  <dimension ref="A1:L274"/>
  <sheetViews>
    <sheetView workbookViewId="0">
      <selection activeCell="B23" sqref="B23"/>
    </sheetView>
  </sheetViews>
  <sheetFormatPr defaultRowHeight="14.4" x14ac:dyDescent="0.3"/>
  <cols>
    <col min="2" max="2" width="62.6640625" bestFit="1" customWidth="1"/>
  </cols>
  <sheetData>
    <row r="1" spans="1:12" ht="50.55" customHeight="1" x14ac:dyDescent="0.3">
      <c r="A1" s="10" t="s">
        <v>1</v>
      </c>
      <c r="B1" s="10" t="s">
        <v>3</v>
      </c>
      <c r="C1" s="10" t="s">
        <v>92</v>
      </c>
      <c r="D1" s="10" t="s">
        <v>93</v>
      </c>
      <c r="E1" s="10" t="s">
        <v>7</v>
      </c>
      <c r="F1" s="11" t="s">
        <v>8</v>
      </c>
      <c r="G1" s="11" t="s">
        <v>94</v>
      </c>
      <c r="H1" s="12" t="s">
        <v>95</v>
      </c>
      <c r="I1" s="11" t="s">
        <v>96</v>
      </c>
      <c r="J1" s="11" t="s">
        <v>97</v>
      </c>
      <c r="K1" s="11" t="s">
        <v>98</v>
      </c>
      <c r="L1" s="9" t="s">
        <v>99</v>
      </c>
    </row>
    <row r="2" spans="1:12" x14ac:dyDescent="0.3">
      <c r="A2" s="13">
        <v>1404184</v>
      </c>
      <c r="B2" s="14" t="s">
        <v>137</v>
      </c>
      <c r="C2" s="15">
        <v>400</v>
      </c>
      <c r="D2" s="15">
        <v>328.52</v>
      </c>
      <c r="E2" s="15">
        <v>3</v>
      </c>
      <c r="F2" s="15">
        <v>0</v>
      </c>
      <c r="G2" s="15"/>
      <c r="H2" s="16">
        <v>324.98</v>
      </c>
      <c r="I2" s="15">
        <v>75.019999999999982</v>
      </c>
      <c r="J2" s="15">
        <v>75.019999999999982</v>
      </c>
      <c r="K2" s="17">
        <v>23.084497507538916</v>
      </c>
      <c r="L2">
        <v>6499.6000000000049</v>
      </c>
    </row>
    <row r="3" spans="1:12" x14ac:dyDescent="0.3">
      <c r="A3" s="13">
        <v>1404234</v>
      </c>
      <c r="B3" s="14" t="s">
        <v>138</v>
      </c>
      <c r="C3" s="15">
        <v>2000</v>
      </c>
      <c r="D3" s="15">
        <v>1623.4</v>
      </c>
      <c r="E3" s="15">
        <v>3</v>
      </c>
      <c r="F3" s="15">
        <v>0</v>
      </c>
      <c r="G3" s="15"/>
      <c r="H3" s="16">
        <v>1605.7000000000003</v>
      </c>
      <c r="I3" s="15">
        <v>394.29999999999973</v>
      </c>
      <c r="J3" s="15">
        <v>78.859999999999957</v>
      </c>
      <c r="K3" s="17">
        <v>24.556268294201885</v>
      </c>
      <c r="L3">
        <v>6422.8000000000056</v>
      </c>
    </row>
    <row r="4" spans="1:12" x14ac:dyDescent="0.3">
      <c r="A4" s="13">
        <v>1404242</v>
      </c>
      <c r="B4" s="14" t="s">
        <v>139</v>
      </c>
      <c r="C4" s="15">
        <v>4000</v>
      </c>
      <c r="D4" s="15">
        <v>3235.2</v>
      </c>
      <c r="E4" s="15">
        <v>3</v>
      </c>
      <c r="F4" s="15">
        <v>0</v>
      </c>
      <c r="G4" s="15"/>
      <c r="H4" s="16">
        <v>3199.8</v>
      </c>
      <c r="I4" s="15">
        <v>800.19999999999982</v>
      </c>
      <c r="J4" s="15">
        <v>80.019999999999982</v>
      </c>
      <c r="K4" s="17">
        <v>25.007812988311763</v>
      </c>
      <c r="L4">
        <v>3199.8000000000015</v>
      </c>
    </row>
    <row r="5" spans="1:12" x14ac:dyDescent="0.3">
      <c r="A5" s="13">
        <v>1404265</v>
      </c>
      <c r="B5" s="14" t="s">
        <v>140</v>
      </c>
      <c r="C5" s="15">
        <v>7800</v>
      </c>
      <c r="D5" s="15">
        <v>6416.28</v>
      </c>
      <c r="E5" s="15">
        <v>3</v>
      </c>
      <c r="F5" s="15">
        <v>0</v>
      </c>
      <c r="G5" s="15"/>
      <c r="H5" s="16">
        <v>6345.48</v>
      </c>
      <c r="I5" s="15">
        <v>1454.5200000000004</v>
      </c>
      <c r="J5" s="15">
        <v>72.725999999999999</v>
      </c>
      <c r="K5" s="17">
        <v>22.922143005730071</v>
      </c>
      <c r="L5">
        <v>6345.4800000000041</v>
      </c>
    </row>
    <row r="6" spans="1:12" x14ac:dyDescent="0.3">
      <c r="A6" s="13">
        <v>2485254</v>
      </c>
      <c r="B6" s="14" t="s">
        <v>348</v>
      </c>
      <c r="C6" s="15">
        <v>7965</v>
      </c>
      <c r="D6" s="15">
        <v>7109.5590000000002</v>
      </c>
      <c r="E6" s="15">
        <v>0</v>
      </c>
      <c r="F6" s="15">
        <v>0</v>
      </c>
      <c r="G6" s="15"/>
      <c r="H6" s="16">
        <v>7109.5590000000002</v>
      </c>
      <c r="I6" s="15">
        <v>855.4409999999998</v>
      </c>
      <c r="J6" s="15">
        <v>47.524499999999989</v>
      </c>
      <c r="K6" s="17">
        <v>12.03226529240421</v>
      </c>
      <c r="L6">
        <v>7109.5589999999984</v>
      </c>
    </row>
    <row r="7" spans="1:12" x14ac:dyDescent="0.3">
      <c r="A7" s="13">
        <v>2502174</v>
      </c>
      <c r="B7" s="14" t="s">
        <v>206</v>
      </c>
      <c r="C7" s="15">
        <v>208</v>
      </c>
      <c r="D7" s="15">
        <v>165.56799999999998</v>
      </c>
      <c r="E7" s="15">
        <v>9</v>
      </c>
      <c r="F7" s="15">
        <v>0</v>
      </c>
      <c r="G7" s="15"/>
      <c r="H7" s="16">
        <v>160.25799999999998</v>
      </c>
      <c r="I7" s="15">
        <v>47.742000000000019</v>
      </c>
      <c r="J7" s="15">
        <v>95.484000000000037</v>
      </c>
      <c r="K7" s="17">
        <v>29.790712476132253</v>
      </c>
      <c r="L7">
        <v>6410.3200000000024</v>
      </c>
    </row>
    <row r="8" spans="1:12" x14ac:dyDescent="0.3">
      <c r="A8" s="13">
        <v>2502184</v>
      </c>
      <c r="B8" s="14" t="s">
        <v>207</v>
      </c>
      <c r="C8" s="15">
        <v>370</v>
      </c>
      <c r="D8" s="15">
        <v>300.47699999999998</v>
      </c>
      <c r="E8" s="15">
        <v>19</v>
      </c>
      <c r="F8" s="15">
        <v>0</v>
      </c>
      <c r="G8" s="15"/>
      <c r="H8" s="16">
        <v>278.05699999999996</v>
      </c>
      <c r="I8" s="15">
        <v>91.94300000000004</v>
      </c>
      <c r="J8" s="15">
        <v>91.94300000000004</v>
      </c>
      <c r="K8" s="17">
        <v>33.066241813728858</v>
      </c>
      <c r="L8">
        <v>5561.1400000000031</v>
      </c>
    </row>
    <row r="9" spans="1:12" x14ac:dyDescent="0.3">
      <c r="A9" s="13">
        <v>2502234</v>
      </c>
      <c r="B9" s="14" t="s">
        <v>208</v>
      </c>
      <c r="C9" s="15">
        <v>1820</v>
      </c>
      <c r="D9" s="15">
        <v>1475.8380000000002</v>
      </c>
      <c r="E9" s="15">
        <v>19</v>
      </c>
      <c r="F9" s="15">
        <v>0</v>
      </c>
      <c r="G9" s="15"/>
      <c r="H9" s="16">
        <v>1363.7380000000003</v>
      </c>
      <c r="I9" s="15">
        <v>456.26199999999972</v>
      </c>
      <c r="J9" s="15">
        <v>91.252399999999966</v>
      </c>
      <c r="K9" s="17">
        <v>33.456719692492229</v>
      </c>
      <c r="L9">
        <v>5454.9520000000048</v>
      </c>
    </row>
    <row r="10" spans="1:12" x14ac:dyDescent="0.3">
      <c r="A10" s="13">
        <v>2502265</v>
      </c>
      <c r="B10" s="14" t="s">
        <v>209</v>
      </c>
      <c r="C10" s="15">
        <v>7730</v>
      </c>
      <c r="D10" s="15">
        <v>6309.9989999999989</v>
      </c>
      <c r="E10" s="15">
        <v>19</v>
      </c>
      <c r="F10" s="15">
        <v>0</v>
      </c>
      <c r="G10" s="15"/>
      <c r="H10" s="16">
        <v>5861.5989999999993</v>
      </c>
      <c r="I10" s="15">
        <v>1868.4010000000007</v>
      </c>
      <c r="J10" s="15">
        <v>93.42005000000006</v>
      </c>
      <c r="K10" s="17">
        <v>31.875278400996059</v>
      </c>
      <c r="L10">
        <v>5861.5990000000029</v>
      </c>
    </row>
    <row r="11" spans="1:12" x14ac:dyDescent="0.3">
      <c r="A11" s="13">
        <v>2503184</v>
      </c>
      <c r="B11" s="14" t="s">
        <v>210</v>
      </c>
      <c r="C11" s="15">
        <v>417</v>
      </c>
      <c r="D11" s="15">
        <v>336.64410000000004</v>
      </c>
      <c r="E11" s="15">
        <v>14</v>
      </c>
      <c r="F11" s="15">
        <v>0</v>
      </c>
      <c r="G11" s="15"/>
      <c r="H11" s="16">
        <v>320.1241</v>
      </c>
      <c r="I11" s="15">
        <v>96.875900000000001</v>
      </c>
      <c r="J11" s="15">
        <v>96.875900000000001</v>
      </c>
      <c r="K11" s="17">
        <v>30.261982774805148</v>
      </c>
      <c r="L11">
        <v>6402.4820000000045</v>
      </c>
    </row>
    <row r="12" spans="1:12" x14ac:dyDescent="0.3">
      <c r="A12" s="13">
        <v>2503234</v>
      </c>
      <c r="B12" s="14" t="s">
        <v>211</v>
      </c>
      <c r="C12" s="15">
        <v>2020</v>
      </c>
      <c r="D12" s="15">
        <v>1654.1779999999999</v>
      </c>
      <c r="E12" s="15">
        <v>14</v>
      </c>
      <c r="F12" s="15">
        <v>0</v>
      </c>
      <c r="G12" s="15"/>
      <c r="H12" s="16">
        <v>1571.578</v>
      </c>
      <c r="I12" s="15">
        <v>448.42200000000003</v>
      </c>
      <c r="J12" s="15">
        <v>89.684399999999982</v>
      </c>
      <c r="K12" s="17">
        <v>28.533232203555919</v>
      </c>
      <c r="L12">
        <v>6286.3120000000044</v>
      </c>
    </row>
    <row r="13" spans="1:12" x14ac:dyDescent="0.3">
      <c r="A13" s="13">
        <v>2503265</v>
      </c>
      <c r="B13" s="14" t="s">
        <v>212</v>
      </c>
      <c r="C13" s="15">
        <v>7440</v>
      </c>
      <c r="D13" s="15">
        <v>6056.9040000000005</v>
      </c>
      <c r="E13" s="15">
        <v>14</v>
      </c>
      <c r="F13" s="15">
        <v>0</v>
      </c>
      <c r="G13" s="15"/>
      <c r="H13" s="16">
        <v>5726.5039999999999</v>
      </c>
      <c r="I13" s="15">
        <v>1713.4960000000001</v>
      </c>
      <c r="J13" s="15">
        <v>85.674800000000005</v>
      </c>
      <c r="K13" s="17">
        <v>29.92220035120905</v>
      </c>
      <c r="L13">
        <v>5726.5040000000035</v>
      </c>
    </row>
    <row r="14" spans="1:12" x14ac:dyDescent="0.3">
      <c r="A14" s="13">
        <v>2540199</v>
      </c>
      <c r="B14" s="14" t="s">
        <v>100</v>
      </c>
      <c r="C14" s="15">
        <v>750</v>
      </c>
      <c r="D14" s="15">
        <v>601.95000000000005</v>
      </c>
      <c r="E14" s="15">
        <v>0</v>
      </c>
      <c r="F14" s="15">
        <v>0</v>
      </c>
      <c r="G14" s="15"/>
      <c r="H14" s="16">
        <v>601.95000000000005</v>
      </c>
      <c r="I14" s="15">
        <v>148.04999999999995</v>
      </c>
      <c r="J14" s="15">
        <v>70.499999999999943</v>
      </c>
      <c r="K14" s="17">
        <v>24.595066035384988</v>
      </c>
      <c r="L14">
        <v>2407.8000000000002</v>
      </c>
    </row>
    <row r="15" spans="1:12" x14ac:dyDescent="0.3">
      <c r="A15" s="13">
        <v>2557195</v>
      </c>
      <c r="B15" s="14" t="s">
        <v>110</v>
      </c>
      <c r="C15" s="15">
        <v>1050</v>
      </c>
      <c r="D15" s="15">
        <v>923.68499999999995</v>
      </c>
      <c r="E15" s="15">
        <v>0</v>
      </c>
      <c r="F15" s="15">
        <v>0</v>
      </c>
      <c r="G15" s="15"/>
      <c r="H15" s="16">
        <v>923.68500000000006</v>
      </c>
      <c r="I15" s="15">
        <v>126.31499999999994</v>
      </c>
      <c r="J15" s="15">
        <v>50.525999999999954</v>
      </c>
      <c r="K15" s="17">
        <v>13.675116516994423</v>
      </c>
      <c r="L15">
        <v>3694.7400000000002</v>
      </c>
    </row>
    <row r="16" spans="1:12" x14ac:dyDescent="0.3">
      <c r="A16" s="13">
        <v>2586184</v>
      </c>
      <c r="B16" s="14" t="s">
        <v>125</v>
      </c>
      <c r="C16" s="15">
        <v>990</v>
      </c>
      <c r="D16" s="15">
        <v>768.14100000000008</v>
      </c>
      <c r="E16" s="15">
        <v>0</v>
      </c>
      <c r="F16" s="15">
        <v>0</v>
      </c>
      <c r="G16" s="15"/>
      <c r="H16" s="16">
        <v>768.14100000000008</v>
      </c>
      <c r="I16" s="15">
        <v>221.85899999999992</v>
      </c>
      <c r="J16" s="15">
        <v>221.85899999999992</v>
      </c>
      <c r="K16" s="17">
        <v>28.882587962366273</v>
      </c>
      <c r="L16">
        <v>15362.820000000012</v>
      </c>
    </row>
    <row r="17" spans="1:12" x14ac:dyDescent="0.3">
      <c r="A17" s="13">
        <v>2824152</v>
      </c>
      <c r="B17" s="14" t="s">
        <v>242</v>
      </c>
      <c r="C17" s="15">
        <v>364</v>
      </c>
      <c r="D17" s="15">
        <v>291.67320000000001</v>
      </c>
      <c r="E17" s="15">
        <v>24</v>
      </c>
      <c r="F17" s="15">
        <v>0</v>
      </c>
      <c r="G17" s="15"/>
      <c r="H17" s="16">
        <v>266.18520000000001</v>
      </c>
      <c r="I17" s="15">
        <v>97.814799999999991</v>
      </c>
      <c r="J17" s="15">
        <v>108.68311111111115</v>
      </c>
      <c r="K17" s="17">
        <v>36.746896521669868</v>
      </c>
      <c r="L17">
        <v>5323.7039999999997</v>
      </c>
    </row>
    <row r="18" spans="1:12" x14ac:dyDescent="0.3">
      <c r="A18" s="13">
        <v>2824184</v>
      </c>
      <c r="B18" s="14" t="s">
        <v>243</v>
      </c>
      <c r="C18" s="15">
        <v>403</v>
      </c>
      <c r="D18" s="15">
        <v>323.81049999999999</v>
      </c>
      <c r="E18" s="15">
        <v>30</v>
      </c>
      <c r="F18" s="15">
        <v>0</v>
      </c>
      <c r="G18" s="15"/>
      <c r="H18" s="16">
        <v>288.41050000000001</v>
      </c>
      <c r="I18" s="15">
        <v>114.58949999999999</v>
      </c>
      <c r="J18" s="15">
        <v>114.58949999999999</v>
      </c>
      <c r="K18" s="17">
        <v>39.731389807236553</v>
      </c>
      <c r="L18">
        <v>5768.2100000000046</v>
      </c>
    </row>
    <row r="19" spans="1:12" x14ac:dyDescent="0.3">
      <c r="A19" s="13">
        <v>2825022</v>
      </c>
      <c r="B19" s="14" t="s">
        <v>381</v>
      </c>
      <c r="C19" s="15">
        <v>1108</v>
      </c>
      <c r="D19" s="15">
        <v>831.33240000000001</v>
      </c>
      <c r="E19" s="15">
        <v>45</v>
      </c>
      <c r="F19" s="15">
        <v>0</v>
      </c>
      <c r="G19" s="15"/>
      <c r="H19" s="16">
        <v>767.61239999999998</v>
      </c>
      <c r="I19" s="15">
        <v>340.38760000000002</v>
      </c>
      <c r="J19" s="15">
        <v>283.65633333333335</v>
      </c>
      <c r="K19" s="17">
        <v>44.343681785234324</v>
      </c>
      <c r="L19">
        <v>7676.1239999999998</v>
      </c>
    </row>
    <row r="20" spans="1:12" x14ac:dyDescent="0.3">
      <c r="A20" s="13">
        <v>2825030</v>
      </c>
      <c r="B20" s="14" t="s">
        <v>383</v>
      </c>
      <c r="C20" s="15">
        <v>2576</v>
      </c>
      <c r="D20" s="15">
        <v>1933.0304000000001</v>
      </c>
      <c r="E20" s="15">
        <v>0</v>
      </c>
      <c r="F20" s="15">
        <v>0</v>
      </c>
      <c r="G20" s="15"/>
      <c r="H20" s="16">
        <v>1933.0304000000001</v>
      </c>
      <c r="I20" s="15">
        <v>642.9695999999999</v>
      </c>
      <c r="J20" s="15">
        <v>229.63200000000006</v>
      </c>
      <c r="K20" s="17">
        <v>33.262260127931768</v>
      </c>
      <c r="L20">
        <v>7732.1216000000004</v>
      </c>
    </row>
    <row r="21" spans="1:12" x14ac:dyDescent="0.3">
      <c r="A21" s="13">
        <v>2825185</v>
      </c>
      <c r="B21" s="14" t="s">
        <v>379</v>
      </c>
      <c r="C21" s="15">
        <v>925</v>
      </c>
      <c r="D21" s="15">
        <v>694.02750000000003</v>
      </c>
      <c r="E21" s="15">
        <v>145</v>
      </c>
      <c r="F21" s="15">
        <v>0</v>
      </c>
      <c r="G21" s="15"/>
      <c r="H21" s="16">
        <v>522.92750000000001</v>
      </c>
      <c r="I21" s="15">
        <v>402.07249999999999</v>
      </c>
      <c r="J21" s="15">
        <v>402.07249999999999</v>
      </c>
      <c r="K21" s="17">
        <v>76.888765651070173</v>
      </c>
      <c r="L21">
        <v>5229.2750000000033</v>
      </c>
    </row>
    <row r="22" spans="1:12" x14ac:dyDescent="0.3">
      <c r="A22" s="13">
        <v>2825195</v>
      </c>
      <c r="B22" s="14" t="s">
        <v>382</v>
      </c>
      <c r="C22" s="15">
        <v>2303</v>
      </c>
      <c r="D22" s="15">
        <v>1727.7105999999999</v>
      </c>
      <c r="E22" s="15">
        <v>0</v>
      </c>
      <c r="F22" s="15">
        <v>0</v>
      </c>
      <c r="G22" s="15"/>
      <c r="H22" s="16">
        <v>1727.7105999999999</v>
      </c>
      <c r="I22" s="15">
        <v>575.28940000000011</v>
      </c>
      <c r="J22" s="15">
        <v>230.11576000000014</v>
      </c>
      <c r="K22" s="17">
        <v>33.297787256731546</v>
      </c>
      <c r="L22">
        <v>6910.8423999999995</v>
      </c>
    </row>
    <row r="23" spans="1:12" x14ac:dyDescent="0.3">
      <c r="A23" s="13">
        <v>2825258</v>
      </c>
      <c r="B23" s="14" t="s">
        <v>380</v>
      </c>
      <c r="C23" s="15">
        <v>925</v>
      </c>
      <c r="D23" s="15">
        <v>694.02750000000003</v>
      </c>
      <c r="E23" s="15">
        <v>45</v>
      </c>
      <c r="F23" s="15">
        <v>0</v>
      </c>
      <c r="G23" s="15"/>
      <c r="H23" s="16">
        <v>640.92750000000001</v>
      </c>
      <c r="I23" s="15">
        <v>284.07249999999999</v>
      </c>
      <c r="J23" s="15">
        <v>284.07249999999999</v>
      </c>
      <c r="K23" s="17">
        <v>44.322095712853638</v>
      </c>
      <c r="L23">
        <v>6409.2749999999996</v>
      </c>
    </row>
    <row r="24" spans="1:12" x14ac:dyDescent="0.3">
      <c r="A24" s="13">
        <v>2828152</v>
      </c>
      <c r="B24" s="14" t="s">
        <v>244</v>
      </c>
      <c r="C24" s="15">
        <v>463</v>
      </c>
      <c r="D24" s="15">
        <v>356.55630000000002</v>
      </c>
      <c r="E24" s="15">
        <v>44</v>
      </c>
      <c r="F24" s="15">
        <v>0</v>
      </c>
      <c r="G24" s="15"/>
      <c r="H24" s="16">
        <v>309.82830000000001</v>
      </c>
      <c r="I24" s="15">
        <v>153.17169999999999</v>
      </c>
      <c r="J24" s="15">
        <v>170.19077777777778</v>
      </c>
      <c r="K24" s="17">
        <v>49.437607862161073</v>
      </c>
      <c r="L24">
        <v>6196.5660000000007</v>
      </c>
    </row>
    <row r="25" spans="1:12" x14ac:dyDescent="0.3">
      <c r="A25" s="13">
        <v>2828184</v>
      </c>
      <c r="B25" s="14" t="s">
        <v>245</v>
      </c>
      <c r="C25" s="15">
        <v>509</v>
      </c>
      <c r="D25" s="15">
        <v>392.74439999999993</v>
      </c>
      <c r="E25" s="15">
        <v>44</v>
      </c>
      <c r="F25" s="15">
        <v>0</v>
      </c>
      <c r="G25" s="15"/>
      <c r="H25" s="16">
        <v>340.82439999999997</v>
      </c>
      <c r="I25" s="15">
        <v>168.17560000000003</v>
      </c>
      <c r="J25" s="15">
        <v>168.17560000000003</v>
      </c>
      <c r="K25" s="17">
        <v>49.343767641049183</v>
      </c>
      <c r="L25">
        <v>6816.4880000000039</v>
      </c>
    </row>
    <row r="26" spans="1:12" x14ac:dyDescent="0.3">
      <c r="A26" s="13">
        <v>2828229</v>
      </c>
      <c r="B26" s="14" t="s">
        <v>246</v>
      </c>
      <c r="C26" s="15">
        <v>509</v>
      </c>
      <c r="D26" s="15">
        <v>392.74439999999993</v>
      </c>
      <c r="E26" s="15">
        <v>39</v>
      </c>
      <c r="F26" s="15">
        <v>0</v>
      </c>
      <c r="G26" s="15"/>
      <c r="H26" s="16">
        <v>346.72439999999995</v>
      </c>
      <c r="I26" s="15">
        <v>162.27560000000005</v>
      </c>
      <c r="J26" s="15">
        <v>162.27560000000005</v>
      </c>
      <c r="K26" s="17">
        <v>46.802474818616766</v>
      </c>
      <c r="L26">
        <v>6934.4879999999994</v>
      </c>
    </row>
    <row r="27" spans="1:12" x14ac:dyDescent="0.3">
      <c r="A27" s="13">
        <v>2828230</v>
      </c>
      <c r="B27" s="14" t="s">
        <v>247</v>
      </c>
      <c r="C27" s="15">
        <v>436</v>
      </c>
      <c r="D27" s="15">
        <v>335.7636</v>
      </c>
      <c r="E27" s="15">
        <v>39</v>
      </c>
      <c r="F27" s="15">
        <v>0</v>
      </c>
      <c r="G27" s="15"/>
      <c r="H27" s="16">
        <v>294.34559999999999</v>
      </c>
      <c r="I27" s="15">
        <v>141.65440000000001</v>
      </c>
      <c r="J27" s="15">
        <v>157.39377777777781</v>
      </c>
      <c r="K27" s="17">
        <v>48.12519704728048</v>
      </c>
      <c r="L27">
        <v>5886.9120000000003</v>
      </c>
    </row>
    <row r="28" spans="1:12" x14ac:dyDescent="0.3">
      <c r="A28" s="13">
        <v>2829152</v>
      </c>
      <c r="B28" s="14" t="s">
        <v>248</v>
      </c>
      <c r="C28" s="15">
        <v>436</v>
      </c>
      <c r="D28" s="15">
        <v>335.7636</v>
      </c>
      <c r="E28" s="15">
        <v>44</v>
      </c>
      <c r="F28" s="15">
        <v>0</v>
      </c>
      <c r="G28" s="15"/>
      <c r="H28" s="16">
        <v>289.03559999999999</v>
      </c>
      <c r="I28" s="15">
        <v>146.96440000000001</v>
      </c>
      <c r="J28" s="15">
        <v>163.29377777777779</v>
      </c>
      <c r="K28" s="17">
        <v>50.846470123403485</v>
      </c>
      <c r="L28">
        <v>5780.7119999999995</v>
      </c>
    </row>
    <row r="29" spans="1:12" x14ac:dyDescent="0.3">
      <c r="A29" s="13">
        <v>2829184</v>
      </c>
      <c r="B29" s="14" t="s">
        <v>249</v>
      </c>
      <c r="C29" s="15">
        <v>509</v>
      </c>
      <c r="D29" s="15">
        <v>392.74439999999993</v>
      </c>
      <c r="E29" s="15">
        <v>44</v>
      </c>
      <c r="F29" s="15">
        <v>0</v>
      </c>
      <c r="G29" s="15"/>
      <c r="H29" s="16">
        <v>340.82439999999997</v>
      </c>
      <c r="I29" s="15">
        <v>168.17560000000003</v>
      </c>
      <c r="J29" s="15">
        <v>168.17560000000003</v>
      </c>
      <c r="K29" s="17">
        <v>49.343767641049183</v>
      </c>
      <c r="L29">
        <v>6816.4880000000039</v>
      </c>
    </row>
    <row r="30" spans="1:12" x14ac:dyDescent="0.3">
      <c r="A30" s="13">
        <v>2829229</v>
      </c>
      <c r="B30" s="14" t="s">
        <v>250</v>
      </c>
      <c r="C30" s="15">
        <v>509</v>
      </c>
      <c r="D30" s="15">
        <v>392.74439999999993</v>
      </c>
      <c r="E30" s="15">
        <v>39</v>
      </c>
      <c r="F30" s="15">
        <v>0</v>
      </c>
      <c r="G30" s="15"/>
      <c r="H30" s="16">
        <v>346.72439999999995</v>
      </c>
      <c r="I30" s="15">
        <v>162.27560000000005</v>
      </c>
      <c r="J30" s="15">
        <v>162.27560000000005</v>
      </c>
      <c r="K30" s="17">
        <v>46.802474818616766</v>
      </c>
      <c r="L30">
        <v>6934.4879999999994</v>
      </c>
    </row>
    <row r="31" spans="1:12" x14ac:dyDescent="0.3">
      <c r="A31" s="13">
        <v>2829230</v>
      </c>
      <c r="B31" s="14" t="s">
        <v>251</v>
      </c>
      <c r="C31" s="15">
        <v>463</v>
      </c>
      <c r="D31" s="15">
        <v>356.55630000000002</v>
      </c>
      <c r="E31" s="15">
        <v>39</v>
      </c>
      <c r="F31" s="15">
        <v>0</v>
      </c>
      <c r="G31" s="15"/>
      <c r="H31" s="16">
        <v>315.13830000000002</v>
      </c>
      <c r="I31" s="15">
        <v>147.86169999999998</v>
      </c>
      <c r="J31" s="15">
        <v>164.29077777777781</v>
      </c>
      <c r="K31" s="17">
        <v>46.919622273776298</v>
      </c>
      <c r="L31">
        <v>6302.7660000000005</v>
      </c>
    </row>
    <row r="32" spans="1:12" x14ac:dyDescent="0.3">
      <c r="A32" s="13">
        <v>2830229</v>
      </c>
      <c r="B32" s="14" t="s">
        <v>253</v>
      </c>
      <c r="C32" s="15">
        <v>509</v>
      </c>
      <c r="D32" s="15">
        <v>392.74439999999993</v>
      </c>
      <c r="E32" s="15">
        <v>39</v>
      </c>
      <c r="F32" s="15">
        <v>0</v>
      </c>
      <c r="G32" s="15"/>
      <c r="H32" s="16">
        <v>346.72439999999995</v>
      </c>
      <c r="I32" s="15">
        <v>162.27560000000005</v>
      </c>
      <c r="J32" s="15">
        <v>162.27560000000005</v>
      </c>
      <c r="K32" s="17">
        <v>46.802474818616766</v>
      </c>
      <c r="L32">
        <v>6934.4879999999994</v>
      </c>
    </row>
    <row r="33" spans="1:12" x14ac:dyDescent="0.3">
      <c r="A33" s="13">
        <v>2830230</v>
      </c>
      <c r="B33" s="14" t="s">
        <v>252</v>
      </c>
      <c r="C33" s="15">
        <v>463</v>
      </c>
      <c r="D33" s="15">
        <v>356.55630000000002</v>
      </c>
      <c r="E33" s="15">
        <v>39</v>
      </c>
      <c r="F33" s="15">
        <v>0</v>
      </c>
      <c r="G33" s="15"/>
      <c r="H33" s="16">
        <v>315.13830000000002</v>
      </c>
      <c r="I33" s="15">
        <v>147.86169999999998</v>
      </c>
      <c r="J33" s="15">
        <v>164.29077777777781</v>
      </c>
      <c r="K33" s="17">
        <v>46.919622273776298</v>
      </c>
      <c r="L33">
        <v>6302.7660000000005</v>
      </c>
    </row>
    <row r="34" spans="1:12" x14ac:dyDescent="0.3">
      <c r="A34" s="13">
        <v>2874152</v>
      </c>
      <c r="B34" s="14" t="s">
        <v>351</v>
      </c>
      <c r="C34" s="15">
        <v>346</v>
      </c>
      <c r="D34" s="15">
        <v>199.988</v>
      </c>
      <c r="E34" s="15">
        <v>0</v>
      </c>
      <c r="F34" s="15">
        <v>0</v>
      </c>
      <c r="G34" s="15"/>
      <c r="H34" s="16">
        <v>199.988</v>
      </c>
      <c r="I34" s="15">
        <v>146.012</v>
      </c>
      <c r="J34" s="15">
        <v>162.23555555555558</v>
      </c>
      <c r="K34" s="17">
        <v>73.010380622837374</v>
      </c>
      <c r="L34">
        <v>3999.76</v>
      </c>
    </row>
    <row r="35" spans="1:12" x14ac:dyDescent="0.3">
      <c r="A35" s="13">
        <v>2874184</v>
      </c>
      <c r="B35" s="14" t="s">
        <v>352</v>
      </c>
      <c r="C35" s="15">
        <v>381</v>
      </c>
      <c r="D35" s="15">
        <v>222.19920000000002</v>
      </c>
      <c r="E35" s="15">
        <v>0</v>
      </c>
      <c r="F35" s="15">
        <v>0</v>
      </c>
      <c r="G35" s="15"/>
      <c r="H35" s="16">
        <v>222.19920000000002</v>
      </c>
      <c r="I35" s="15">
        <v>158.80079999999998</v>
      </c>
      <c r="J35" s="15">
        <v>158.80079999999998</v>
      </c>
      <c r="K35" s="17">
        <v>71.467764060356643</v>
      </c>
      <c r="L35">
        <v>4443.9840000000031</v>
      </c>
    </row>
    <row r="36" spans="1:12" x14ac:dyDescent="0.3">
      <c r="A36" s="13">
        <v>2885036</v>
      </c>
      <c r="B36" s="14" t="s">
        <v>254</v>
      </c>
      <c r="C36" s="15">
        <v>367</v>
      </c>
      <c r="D36" s="15">
        <v>279.91090000000003</v>
      </c>
      <c r="E36" s="15">
        <v>50</v>
      </c>
      <c r="F36" s="15">
        <v>0</v>
      </c>
      <c r="G36" s="15"/>
      <c r="H36" s="16">
        <v>244.51090000000002</v>
      </c>
      <c r="I36" s="15">
        <v>122.48909999999998</v>
      </c>
      <c r="J36" s="15">
        <v>204.14850000000001</v>
      </c>
      <c r="K36" s="17">
        <v>50.095558112133233</v>
      </c>
      <c r="L36">
        <v>4890.2180000000008</v>
      </c>
    </row>
    <row r="37" spans="1:12" x14ac:dyDescent="0.3">
      <c r="A37" s="13">
        <v>2889156</v>
      </c>
      <c r="B37" s="14" t="s">
        <v>255</v>
      </c>
      <c r="C37" s="15">
        <v>378</v>
      </c>
      <c r="D37" s="15">
        <v>269.28719999999998</v>
      </c>
      <c r="E37" s="15">
        <v>35</v>
      </c>
      <c r="F37" s="15">
        <v>0</v>
      </c>
      <c r="G37" s="15"/>
      <c r="H37" s="16">
        <v>236.24719999999996</v>
      </c>
      <c r="I37" s="15">
        <v>141.75280000000004</v>
      </c>
      <c r="J37" s="15">
        <v>177.19100000000009</v>
      </c>
      <c r="K37" s="17">
        <v>60.001896318771209</v>
      </c>
      <c r="L37">
        <v>4724.9439999999995</v>
      </c>
    </row>
    <row r="38" spans="1:12" x14ac:dyDescent="0.3">
      <c r="A38" s="13">
        <v>2896150</v>
      </c>
      <c r="B38" s="14" t="s">
        <v>132</v>
      </c>
      <c r="C38" s="15">
        <v>320</v>
      </c>
      <c r="D38" s="15">
        <v>250.01599999999999</v>
      </c>
      <c r="E38" s="15">
        <v>0</v>
      </c>
      <c r="F38" s="15">
        <v>0</v>
      </c>
      <c r="G38" s="15"/>
      <c r="H38" s="16">
        <v>250.01599999999999</v>
      </c>
      <c r="I38" s="15">
        <v>69.984000000000009</v>
      </c>
      <c r="J38" s="15">
        <v>77.759999999999991</v>
      </c>
      <c r="K38" s="17">
        <v>27.991808524254452</v>
      </c>
      <c r="L38">
        <v>2500.16</v>
      </c>
    </row>
    <row r="39" spans="1:12" x14ac:dyDescent="0.3">
      <c r="A39" s="13">
        <v>2896185</v>
      </c>
      <c r="B39" s="14" t="s">
        <v>133</v>
      </c>
      <c r="C39" s="15">
        <v>350</v>
      </c>
      <c r="D39" s="15">
        <v>274.99499999999995</v>
      </c>
      <c r="E39" s="15">
        <v>0</v>
      </c>
      <c r="F39" s="15">
        <v>0</v>
      </c>
      <c r="G39" s="15"/>
      <c r="H39" s="16">
        <v>274.99499999999995</v>
      </c>
      <c r="I39" s="15">
        <v>75.005000000000052</v>
      </c>
      <c r="J39" s="15">
        <v>75.005000000000052</v>
      </c>
      <c r="K39" s="17">
        <v>27.275041364388468</v>
      </c>
      <c r="L39">
        <v>2749.9500000000007</v>
      </c>
    </row>
    <row r="40" spans="1:12" x14ac:dyDescent="0.3">
      <c r="A40" s="13">
        <v>2900103</v>
      </c>
      <c r="B40" s="14" t="s">
        <v>281</v>
      </c>
      <c r="C40" s="15">
        <v>12.6</v>
      </c>
      <c r="D40" s="15">
        <v>7.8535799999999991</v>
      </c>
      <c r="E40" s="15">
        <v>0</v>
      </c>
      <c r="F40" s="15">
        <v>0</v>
      </c>
      <c r="G40" s="15"/>
      <c r="H40" s="16">
        <v>7.8535799999999991</v>
      </c>
      <c r="I40" s="15">
        <v>4.7464200000000005</v>
      </c>
      <c r="J40" s="15">
        <v>237.32100000000003</v>
      </c>
      <c r="K40" s="17">
        <v>60.436386972565394</v>
      </c>
      <c r="L40">
        <v>4712.1480000000001</v>
      </c>
    </row>
    <row r="41" spans="1:12" x14ac:dyDescent="0.3">
      <c r="A41" s="13">
        <v>2900125</v>
      </c>
      <c r="B41" s="14" t="s">
        <v>282</v>
      </c>
      <c r="C41" s="15">
        <v>20.2</v>
      </c>
      <c r="D41" s="15">
        <v>14.578340000000001</v>
      </c>
      <c r="E41" s="15">
        <v>0</v>
      </c>
      <c r="F41" s="15">
        <v>0</v>
      </c>
      <c r="G41" s="15"/>
      <c r="H41" s="16">
        <v>14.578340000000001</v>
      </c>
      <c r="I41" s="15">
        <v>5.6216599999999985</v>
      </c>
      <c r="J41" s="15">
        <v>140.54149999999998</v>
      </c>
      <c r="K41" s="17">
        <v>38.561729250381035</v>
      </c>
      <c r="L41">
        <v>4373.5020000000004</v>
      </c>
    </row>
    <row r="42" spans="1:12" x14ac:dyDescent="0.3">
      <c r="A42" s="13">
        <v>2900145</v>
      </c>
      <c r="B42" s="14" t="s">
        <v>283</v>
      </c>
      <c r="C42" s="15">
        <v>25.8</v>
      </c>
      <c r="D42" s="15">
        <v>20.823179999999997</v>
      </c>
      <c r="E42" s="15">
        <v>0</v>
      </c>
      <c r="F42" s="15">
        <v>0</v>
      </c>
      <c r="G42" s="15"/>
      <c r="H42" s="16">
        <v>20.823179999999997</v>
      </c>
      <c r="I42" s="15">
        <v>4.9768200000000036</v>
      </c>
      <c r="J42" s="15">
        <v>82.94700000000006</v>
      </c>
      <c r="K42" s="17">
        <v>23.900384091190706</v>
      </c>
      <c r="L42">
        <v>4164.6359999999995</v>
      </c>
    </row>
    <row r="43" spans="1:12" x14ac:dyDescent="0.3">
      <c r="A43" s="13">
        <v>2900165</v>
      </c>
      <c r="B43" s="14" t="s">
        <v>284</v>
      </c>
      <c r="C43" s="15">
        <v>117.5</v>
      </c>
      <c r="D43" s="15">
        <v>86.056999999999988</v>
      </c>
      <c r="E43" s="15">
        <v>0</v>
      </c>
      <c r="F43" s="15">
        <v>0</v>
      </c>
      <c r="G43" s="15"/>
      <c r="H43" s="16">
        <v>86.056999999999988</v>
      </c>
      <c r="I43" s="15">
        <v>31.443000000000012</v>
      </c>
      <c r="J43" s="15">
        <v>125.77200000000005</v>
      </c>
      <c r="K43" s="17">
        <v>36.537411250682709</v>
      </c>
      <c r="L43">
        <v>1721.1399999999999</v>
      </c>
    </row>
    <row r="44" spans="1:12" x14ac:dyDescent="0.3">
      <c r="A44" s="13">
        <v>2900175</v>
      </c>
      <c r="B44" s="14" t="s">
        <v>285</v>
      </c>
      <c r="C44" s="15">
        <v>196</v>
      </c>
      <c r="D44" s="15">
        <v>158.07400000000001</v>
      </c>
      <c r="E44" s="15">
        <v>0</v>
      </c>
      <c r="F44" s="15">
        <v>0</v>
      </c>
      <c r="G44" s="15"/>
      <c r="H44" s="16">
        <v>158.07400000000001</v>
      </c>
      <c r="I44" s="15">
        <v>37.925999999999988</v>
      </c>
      <c r="J44" s="15">
        <v>75.851999999999975</v>
      </c>
      <c r="K44" s="17">
        <v>23.992560446373208</v>
      </c>
      <c r="L44">
        <v>3161.4800000000018</v>
      </c>
    </row>
    <row r="45" spans="1:12" x14ac:dyDescent="0.3">
      <c r="A45" s="13">
        <v>2900184</v>
      </c>
      <c r="B45" s="14" t="s">
        <v>286</v>
      </c>
      <c r="C45" s="15">
        <v>372</v>
      </c>
      <c r="D45" s="15">
        <v>309.31800000000004</v>
      </c>
      <c r="E45" s="15">
        <v>0</v>
      </c>
      <c r="F45" s="15">
        <v>0</v>
      </c>
      <c r="G45" s="15"/>
      <c r="H45" s="16">
        <v>309.31800000000004</v>
      </c>
      <c r="I45" s="15">
        <v>62.68199999999996</v>
      </c>
      <c r="J45" s="15">
        <v>62.68199999999996</v>
      </c>
      <c r="K45" s="17">
        <v>20.264582080577252</v>
      </c>
      <c r="L45">
        <v>6186.3600000000051</v>
      </c>
    </row>
    <row r="46" spans="1:12" x14ac:dyDescent="0.3">
      <c r="A46" s="13">
        <v>2909165</v>
      </c>
      <c r="B46" s="14" t="s">
        <v>316</v>
      </c>
      <c r="C46" s="15">
        <v>121.5</v>
      </c>
      <c r="D46" s="15">
        <v>99.751499999999993</v>
      </c>
      <c r="E46" s="15">
        <v>0</v>
      </c>
      <c r="F46" s="15">
        <v>0</v>
      </c>
      <c r="G46" s="15"/>
      <c r="H46" s="16">
        <v>99.751499999999993</v>
      </c>
      <c r="I46" s="15">
        <v>21.748500000000007</v>
      </c>
      <c r="J46" s="15">
        <v>86.994000000000028</v>
      </c>
      <c r="K46" s="17">
        <v>21.802679658952506</v>
      </c>
      <c r="L46">
        <v>1995.0299999999997</v>
      </c>
    </row>
    <row r="47" spans="1:12" x14ac:dyDescent="0.3">
      <c r="A47" s="13">
        <v>2909175</v>
      </c>
      <c r="B47" s="14" t="s">
        <v>317</v>
      </c>
      <c r="C47" s="15">
        <v>235</v>
      </c>
      <c r="D47" s="15">
        <v>193.6635</v>
      </c>
      <c r="E47" s="15">
        <v>0</v>
      </c>
      <c r="F47" s="15">
        <v>0</v>
      </c>
      <c r="G47" s="15"/>
      <c r="H47" s="16">
        <v>193.6635</v>
      </c>
      <c r="I47" s="15">
        <v>41.336500000000001</v>
      </c>
      <c r="J47" s="15">
        <v>82.673000000000002</v>
      </c>
      <c r="K47" s="17">
        <v>21.344497027059823</v>
      </c>
      <c r="L47">
        <v>3873.2700000000023</v>
      </c>
    </row>
    <row r="48" spans="1:12" x14ac:dyDescent="0.3">
      <c r="A48" s="13">
        <v>2914165</v>
      </c>
      <c r="B48" s="14" t="s">
        <v>325</v>
      </c>
      <c r="C48" s="15">
        <v>170.5</v>
      </c>
      <c r="D48" s="15">
        <v>124.65254999999999</v>
      </c>
      <c r="E48" s="15">
        <v>0</v>
      </c>
      <c r="F48" s="15">
        <v>0</v>
      </c>
      <c r="G48" s="15"/>
      <c r="H48" s="16">
        <v>124.65254999999999</v>
      </c>
      <c r="I48" s="15">
        <v>45.847450000000009</v>
      </c>
      <c r="J48" s="15">
        <v>183.38980000000004</v>
      </c>
      <c r="K48" s="17">
        <v>36.78019422787581</v>
      </c>
      <c r="L48">
        <v>2493.0509999999999</v>
      </c>
    </row>
    <row r="49" spans="1:12" x14ac:dyDescent="0.3">
      <c r="A49" s="13">
        <v>2914175</v>
      </c>
      <c r="B49" s="14" t="s">
        <v>326</v>
      </c>
      <c r="C49" s="15">
        <v>325</v>
      </c>
      <c r="D49" s="15">
        <v>239.88249999999999</v>
      </c>
      <c r="E49" s="15">
        <v>0</v>
      </c>
      <c r="F49" s="15">
        <v>0</v>
      </c>
      <c r="G49" s="15"/>
      <c r="H49" s="16">
        <v>239.88249999999999</v>
      </c>
      <c r="I49" s="15">
        <v>85.117500000000007</v>
      </c>
      <c r="J49" s="15">
        <v>170.23500000000001</v>
      </c>
      <c r="K49" s="17">
        <v>35.482996883891076</v>
      </c>
      <c r="L49">
        <v>4797.6500000000024</v>
      </c>
    </row>
    <row r="50" spans="1:12" x14ac:dyDescent="0.3">
      <c r="A50" s="13">
        <v>2918175</v>
      </c>
      <c r="B50" s="14" t="s">
        <v>111</v>
      </c>
      <c r="C50" s="15">
        <v>161</v>
      </c>
      <c r="D50" s="15">
        <v>138.7337</v>
      </c>
      <c r="E50" s="15">
        <v>0</v>
      </c>
      <c r="F50" s="15">
        <v>0</v>
      </c>
      <c r="G50" s="15"/>
      <c r="H50" s="16">
        <v>138.7337</v>
      </c>
      <c r="I50" s="15">
        <v>22.266300000000001</v>
      </c>
      <c r="J50" s="15">
        <v>44.532600000000002</v>
      </c>
      <c r="K50" s="17">
        <v>16.049669258442613</v>
      </c>
      <c r="L50">
        <v>2774.6740000000013</v>
      </c>
    </row>
    <row r="51" spans="1:12" x14ac:dyDescent="0.3">
      <c r="A51" s="13">
        <v>2924152</v>
      </c>
      <c r="B51" s="14" t="s">
        <v>256</v>
      </c>
      <c r="C51" s="15">
        <v>358</v>
      </c>
      <c r="D51" s="15">
        <v>262.44979999999998</v>
      </c>
      <c r="E51" s="15">
        <v>14</v>
      </c>
      <c r="F51" s="15">
        <v>0</v>
      </c>
      <c r="G51" s="15"/>
      <c r="H51" s="16">
        <v>247.58179999999999</v>
      </c>
      <c r="I51" s="15">
        <v>110.41820000000001</v>
      </c>
      <c r="J51" s="15">
        <v>122.68688888888892</v>
      </c>
      <c r="K51" s="17">
        <v>44.598674054393342</v>
      </c>
      <c r="L51">
        <v>4951.6359999999995</v>
      </c>
    </row>
    <row r="52" spans="1:12" x14ac:dyDescent="0.3">
      <c r="A52" s="13">
        <v>2924184</v>
      </c>
      <c r="B52" s="14" t="s">
        <v>257</v>
      </c>
      <c r="C52" s="15">
        <v>425</v>
      </c>
      <c r="D52" s="15">
        <v>313.565</v>
      </c>
      <c r="E52" s="15">
        <v>14</v>
      </c>
      <c r="F52" s="15">
        <v>0</v>
      </c>
      <c r="G52" s="15"/>
      <c r="H52" s="16">
        <v>297.04500000000002</v>
      </c>
      <c r="I52" s="15">
        <v>127.95499999999998</v>
      </c>
      <c r="J52" s="15">
        <v>127.95499999999998</v>
      </c>
      <c r="K52" s="17">
        <v>43.075964921139885</v>
      </c>
      <c r="L52">
        <v>5940.9000000000042</v>
      </c>
    </row>
    <row r="53" spans="1:12" x14ac:dyDescent="0.3">
      <c r="A53" s="13">
        <v>2924229</v>
      </c>
      <c r="B53" s="14" t="s">
        <v>258</v>
      </c>
      <c r="C53" s="15">
        <v>425</v>
      </c>
      <c r="D53" s="15">
        <v>313.565</v>
      </c>
      <c r="E53" s="15">
        <v>3</v>
      </c>
      <c r="F53" s="15">
        <v>0</v>
      </c>
      <c r="G53" s="15"/>
      <c r="H53" s="16">
        <v>310.02500000000003</v>
      </c>
      <c r="I53" s="15">
        <v>114.97499999999997</v>
      </c>
      <c r="J53" s="15">
        <v>114.97499999999997</v>
      </c>
      <c r="K53" s="17">
        <v>37.085718893637591</v>
      </c>
      <c r="L53">
        <v>6200.5000000000009</v>
      </c>
    </row>
    <row r="54" spans="1:12" x14ac:dyDescent="0.3">
      <c r="A54" s="13">
        <v>2924230</v>
      </c>
      <c r="B54" s="14" t="s">
        <v>259</v>
      </c>
      <c r="C54" s="15">
        <v>385</v>
      </c>
      <c r="D54" s="15">
        <v>282.24350000000004</v>
      </c>
      <c r="E54" s="15">
        <v>3</v>
      </c>
      <c r="F54" s="15">
        <v>0</v>
      </c>
      <c r="G54" s="15"/>
      <c r="H54" s="16">
        <v>279.05750000000006</v>
      </c>
      <c r="I54" s="15">
        <v>105.94249999999994</v>
      </c>
      <c r="J54" s="15">
        <v>117.71388888888885</v>
      </c>
      <c r="K54" s="17">
        <v>37.964398018329526</v>
      </c>
      <c r="L54">
        <v>5581.1500000000015</v>
      </c>
    </row>
    <row r="55" spans="1:12" x14ac:dyDescent="0.3">
      <c r="A55" s="13">
        <v>2927152</v>
      </c>
      <c r="B55" s="14" t="s">
        <v>134</v>
      </c>
      <c r="C55" s="15">
        <v>342</v>
      </c>
      <c r="D55" s="15">
        <v>270.96659999999997</v>
      </c>
      <c r="E55" s="15">
        <v>20</v>
      </c>
      <c r="F55" s="15">
        <v>0</v>
      </c>
      <c r="G55" s="15"/>
      <c r="H55" s="16">
        <v>249.72659999999996</v>
      </c>
      <c r="I55" s="15">
        <v>92.273400000000038</v>
      </c>
      <c r="J55" s="15">
        <v>102.52600000000007</v>
      </c>
      <c r="K55" s="17">
        <v>36.949768266576349</v>
      </c>
      <c r="L55">
        <v>4994.5319999999992</v>
      </c>
    </row>
    <row r="56" spans="1:12" x14ac:dyDescent="0.3">
      <c r="A56" s="13">
        <v>2927184</v>
      </c>
      <c r="B56" s="14" t="s">
        <v>135</v>
      </c>
      <c r="C56" s="15">
        <v>380</v>
      </c>
      <c r="D56" s="15">
        <v>301.07400000000001</v>
      </c>
      <c r="E56" s="15">
        <v>20</v>
      </c>
      <c r="F56" s="15">
        <v>0</v>
      </c>
      <c r="G56" s="15"/>
      <c r="H56" s="16">
        <v>277.47399999999999</v>
      </c>
      <c r="I56" s="15">
        <v>102.52600000000001</v>
      </c>
      <c r="J56" s="15">
        <v>102.52600000000001</v>
      </c>
      <c r="K56" s="17">
        <v>36.949768266576335</v>
      </c>
      <c r="L56">
        <v>5549.4800000000041</v>
      </c>
    </row>
    <row r="57" spans="1:12" x14ac:dyDescent="0.3">
      <c r="A57" s="13">
        <v>2931184</v>
      </c>
      <c r="B57" s="14" t="s">
        <v>260</v>
      </c>
      <c r="C57" s="15">
        <v>480</v>
      </c>
      <c r="D57" s="15">
        <v>322.22399999999999</v>
      </c>
      <c r="E57" s="15">
        <v>9</v>
      </c>
      <c r="F57" s="15">
        <v>0</v>
      </c>
      <c r="G57" s="15"/>
      <c r="H57" s="16">
        <v>311.60399999999998</v>
      </c>
      <c r="I57" s="15">
        <v>168.39600000000002</v>
      </c>
      <c r="J57" s="15">
        <v>168.39600000000002</v>
      </c>
      <c r="K57" s="17">
        <v>54.041668271267383</v>
      </c>
      <c r="L57">
        <v>6232.0800000000045</v>
      </c>
    </row>
    <row r="58" spans="1:12" x14ac:dyDescent="0.3">
      <c r="A58" s="13">
        <v>2931225</v>
      </c>
      <c r="B58" s="14" t="s">
        <v>261</v>
      </c>
      <c r="C58" s="15">
        <v>572</v>
      </c>
      <c r="D58" s="15">
        <v>385.87119999999993</v>
      </c>
      <c r="E58" s="15">
        <v>9</v>
      </c>
      <c r="F58" s="15">
        <v>0</v>
      </c>
      <c r="G58" s="15"/>
      <c r="H58" s="16">
        <v>373.1271999999999</v>
      </c>
      <c r="I58" s="15">
        <v>198.8728000000001</v>
      </c>
      <c r="J58" s="15">
        <v>165.72733333333343</v>
      </c>
      <c r="K58" s="17">
        <v>53.298928622732447</v>
      </c>
      <c r="L58">
        <v>7462.5439999999981</v>
      </c>
    </row>
    <row r="59" spans="1:12" x14ac:dyDescent="0.3">
      <c r="A59" s="13">
        <v>2931229</v>
      </c>
      <c r="B59" s="14" t="s">
        <v>262</v>
      </c>
      <c r="C59" s="15">
        <v>480</v>
      </c>
      <c r="D59" s="15">
        <v>322.22399999999999</v>
      </c>
      <c r="E59" s="15">
        <v>9</v>
      </c>
      <c r="F59" s="15">
        <v>0</v>
      </c>
      <c r="G59" s="15"/>
      <c r="H59" s="16">
        <v>311.60399999999998</v>
      </c>
      <c r="I59" s="15">
        <v>168.39600000000002</v>
      </c>
      <c r="J59" s="15">
        <v>168.39600000000002</v>
      </c>
      <c r="K59" s="17">
        <v>54.041668271267383</v>
      </c>
      <c r="L59">
        <v>6232.08</v>
      </c>
    </row>
    <row r="60" spans="1:12" x14ac:dyDescent="0.3">
      <c r="A60" s="13">
        <v>2933156</v>
      </c>
      <c r="B60" s="14" t="s">
        <v>136</v>
      </c>
      <c r="C60" s="15">
        <v>324</v>
      </c>
      <c r="D60" s="15">
        <v>241.89840000000001</v>
      </c>
      <c r="E60" s="15">
        <v>15</v>
      </c>
      <c r="F60" s="15">
        <v>0</v>
      </c>
      <c r="G60" s="15"/>
      <c r="H60" s="16">
        <v>227.73839999999998</v>
      </c>
      <c r="I60" s="15">
        <v>96.261600000000016</v>
      </c>
      <c r="J60" s="15">
        <v>120.32700000000006</v>
      </c>
      <c r="K60" s="17">
        <v>42.268497539281924</v>
      </c>
      <c r="L60">
        <v>4554.768</v>
      </c>
    </row>
    <row r="61" spans="1:12" x14ac:dyDescent="0.3">
      <c r="A61" s="13">
        <v>2936152</v>
      </c>
      <c r="B61" s="14" t="s">
        <v>263</v>
      </c>
      <c r="C61" s="15">
        <v>395</v>
      </c>
      <c r="D61" s="15">
        <v>285.34800000000001</v>
      </c>
      <c r="E61" s="15">
        <v>14</v>
      </c>
      <c r="F61" s="15">
        <v>0</v>
      </c>
      <c r="G61" s="15"/>
      <c r="H61" s="16">
        <v>270.48</v>
      </c>
      <c r="I61" s="15">
        <v>124.51999999999998</v>
      </c>
      <c r="J61" s="15">
        <v>138.3555555555555</v>
      </c>
      <c r="K61" s="17">
        <v>46.036675539781122</v>
      </c>
      <c r="L61">
        <v>5409.6</v>
      </c>
    </row>
    <row r="62" spans="1:12" x14ac:dyDescent="0.3">
      <c r="A62" s="13">
        <v>2936229</v>
      </c>
      <c r="B62" s="14" t="s">
        <v>264</v>
      </c>
      <c r="C62" s="15">
        <v>437</v>
      </c>
      <c r="D62" s="15">
        <v>316.47540000000004</v>
      </c>
      <c r="E62" s="15">
        <v>14</v>
      </c>
      <c r="F62" s="15">
        <v>0</v>
      </c>
      <c r="G62" s="15"/>
      <c r="H62" s="16">
        <v>299.9554</v>
      </c>
      <c r="I62" s="15">
        <v>137.0446</v>
      </c>
      <c r="J62" s="15">
        <v>137.0446</v>
      </c>
      <c r="K62" s="17">
        <v>45.688325664415444</v>
      </c>
      <c r="L62">
        <v>5999.1080000000002</v>
      </c>
    </row>
    <row r="63" spans="1:12" x14ac:dyDescent="0.3">
      <c r="A63" s="13">
        <v>2936230</v>
      </c>
      <c r="B63" s="14" t="s">
        <v>265</v>
      </c>
      <c r="C63" s="15">
        <v>395</v>
      </c>
      <c r="D63" s="15">
        <v>285.34800000000001</v>
      </c>
      <c r="E63" s="15">
        <v>14</v>
      </c>
      <c r="F63" s="15">
        <v>0</v>
      </c>
      <c r="G63" s="15"/>
      <c r="H63" s="16">
        <v>270.48</v>
      </c>
      <c r="I63" s="15">
        <v>124.51999999999998</v>
      </c>
      <c r="J63" s="15">
        <v>138.3555555555555</v>
      </c>
      <c r="K63" s="17">
        <v>46.036675539781122</v>
      </c>
      <c r="L63">
        <v>5409.6</v>
      </c>
    </row>
    <row r="64" spans="1:12" x14ac:dyDescent="0.3">
      <c r="A64" s="13">
        <v>2944229</v>
      </c>
      <c r="B64" s="14" t="s">
        <v>266</v>
      </c>
      <c r="C64" s="15">
        <v>426</v>
      </c>
      <c r="D64" s="15">
        <v>341.52420000000001</v>
      </c>
      <c r="E64" s="15">
        <v>10</v>
      </c>
      <c r="F64" s="15">
        <v>0</v>
      </c>
      <c r="G64" s="15"/>
      <c r="H64" s="16">
        <v>329.7242</v>
      </c>
      <c r="I64" s="15">
        <v>96.275800000000004</v>
      </c>
      <c r="J64" s="15">
        <v>96.275800000000004</v>
      </c>
      <c r="K64" s="17">
        <v>29.198888040368288</v>
      </c>
      <c r="L64">
        <v>6594.4840000000004</v>
      </c>
    </row>
    <row r="65" spans="1:12" x14ac:dyDescent="0.3">
      <c r="A65" s="13">
        <v>2944230</v>
      </c>
      <c r="B65" s="14" t="s">
        <v>267</v>
      </c>
      <c r="C65" s="15">
        <v>390</v>
      </c>
      <c r="D65" s="15">
        <v>307.59300000000002</v>
      </c>
      <c r="E65" s="15">
        <v>10</v>
      </c>
      <c r="F65" s="15">
        <v>0</v>
      </c>
      <c r="G65" s="15"/>
      <c r="H65" s="16">
        <v>296.97300000000001</v>
      </c>
      <c r="I65" s="15">
        <v>93.026999999999987</v>
      </c>
      <c r="J65" s="15">
        <v>103.36333333333329</v>
      </c>
      <c r="K65" s="17">
        <v>31.325069955854566</v>
      </c>
      <c r="L65">
        <v>5939.46</v>
      </c>
    </row>
    <row r="66" spans="1:12" x14ac:dyDescent="0.3">
      <c r="A66" s="13">
        <v>2949184</v>
      </c>
      <c r="B66" s="14" t="s">
        <v>268</v>
      </c>
      <c r="C66" s="15">
        <v>645</v>
      </c>
      <c r="D66" s="15">
        <v>464.72250000000003</v>
      </c>
      <c r="E66" s="15">
        <v>25</v>
      </c>
      <c r="F66" s="15">
        <v>0</v>
      </c>
      <c r="G66" s="15"/>
      <c r="H66" s="16">
        <v>435.22250000000003</v>
      </c>
      <c r="I66" s="15">
        <v>209.77749999999997</v>
      </c>
      <c r="J66" s="15">
        <v>209.77749999999997</v>
      </c>
      <c r="K66" s="17">
        <v>48.200058590720829</v>
      </c>
      <c r="L66">
        <v>8704.4500000000062</v>
      </c>
    </row>
    <row r="67" spans="1:12" x14ac:dyDescent="0.3">
      <c r="A67" s="13">
        <v>2953213</v>
      </c>
      <c r="B67" s="14" t="s">
        <v>113</v>
      </c>
      <c r="C67" s="15">
        <v>3255</v>
      </c>
      <c r="D67" s="15">
        <v>2554.8494999999998</v>
      </c>
      <c r="E67" s="15">
        <v>0</v>
      </c>
      <c r="F67" s="15">
        <v>0</v>
      </c>
      <c r="G67" s="15"/>
      <c r="H67" s="16">
        <v>2554.8494999999998</v>
      </c>
      <c r="I67" s="15">
        <v>700.15050000000019</v>
      </c>
      <c r="J67" s="15">
        <v>200.04300000000001</v>
      </c>
      <c r="K67" s="17">
        <v>27.404764938208697</v>
      </c>
      <c r="L67">
        <v>10219.398000000001</v>
      </c>
    </row>
    <row r="68" spans="1:12" x14ac:dyDescent="0.3">
      <c r="A68" s="13">
        <v>2960184</v>
      </c>
      <c r="B68" s="14" t="s">
        <v>101</v>
      </c>
      <c r="C68" s="15">
        <v>1210</v>
      </c>
      <c r="D68" s="15">
        <v>804.77100000000007</v>
      </c>
      <c r="E68" s="15">
        <v>0</v>
      </c>
      <c r="F68" s="15">
        <v>0</v>
      </c>
      <c r="G68" s="15"/>
      <c r="H68" s="16">
        <v>804.77100000000019</v>
      </c>
      <c r="I68" s="15">
        <v>405.22899999999981</v>
      </c>
      <c r="J68" s="15">
        <v>405.22899999999981</v>
      </c>
      <c r="K68" s="17">
        <v>50.353330326266686</v>
      </c>
      <c r="L68">
        <v>16095.420000000015</v>
      </c>
    </row>
    <row r="69" spans="1:12" x14ac:dyDescent="0.3">
      <c r="A69" s="13">
        <v>2960222</v>
      </c>
      <c r="B69" s="14" t="s">
        <v>102</v>
      </c>
      <c r="C69" s="15">
        <v>4840</v>
      </c>
      <c r="D69" s="15">
        <v>3219.0840000000003</v>
      </c>
      <c r="E69" s="15">
        <v>0</v>
      </c>
      <c r="F69" s="15">
        <v>0</v>
      </c>
      <c r="G69" s="15"/>
      <c r="H69" s="16">
        <v>3219.0840000000007</v>
      </c>
      <c r="I69" s="15">
        <v>1620.9159999999993</v>
      </c>
      <c r="J69" s="15">
        <v>405.22899999999981</v>
      </c>
      <c r="K69" s="17">
        <v>50.353330326266686</v>
      </c>
      <c r="L69">
        <v>12876.336000000012</v>
      </c>
    </row>
    <row r="70" spans="1:12" x14ac:dyDescent="0.3">
      <c r="A70" s="13">
        <v>2967111</v>
      </c>
      <c r="B70" s="14" t="s">
        <v>273</v>
      </c>
      <c r="C70" s="15">
        <v>2163</v>
      </c>
      <c r="D70" s="15">
        <v>1466.5139999999999</v>
      </c>
      <c r="E70" s="15">
        <v>39</v>
      </c>
      <c r="F70" s="15">
        <v>0</v>
      </c>
      <c r="G70" s="15"/>
      <c r="H70" s="16">
        <v>1305.444</v>
      </c>
      <c r="I70" s="15">
        <v>857.55600000000004</v>
      </c>
      <c r="J70" s="15">
        <v>245.01600000000002</v>
      </c>
      <c r="K70" s="17">
        <v>65.690753490766369</v>
      </c>
      <c r="L70">
        <v>5221.7759999999998</v>
      </c>
    </row>
    <row r="71" spans="1:12" x14ac:dyDescent="0.3">
      <c r="A71" s="13">
        <v>2967184</v>
      </c>
      <c r="B71" s="14" t="s">
        <v>274</v>
      </c>
      <c r="C71" s="15">
        <v>632</v>
      </c>
      <c r="D71" s="15">
        <v>428.81199999999995</v>
      </c>
      <c r="E71" s="15">
        <v>34</v>
      </c>
      <c r="F71" s="15">
        <v>0</v>
      </c>
      <c r="G71" s="15"/>
      <c r="H71" s="16">
        <v>388.69199999999995</v>
      </c>
      <c r="I71" s="15">
        <v>243.30800000000005</v>
      </c>
      <c r="J71" s="15">
        <v>243.30800000000005</v>
      </c>
      <c r="K71" s="17">
        <v>62.596606053121775</v>
      </c>
      <c r="L71">
        <v>7773.8400000000047</v>
      </c>
    </row>
    <row r="72" spans="1:12" x14ac:dyDescent="0.3">
      <c r="A72" s="13">
        <v>2967204</v>
      </c>
      <c r="B72" s="14" t="s">
        <v>271</v>
      </c>
      <c r="C72" s="15">
        <v>1856</v>
      </c>
      <c r="D72" s="15">
        <v>1259.1104</v>
      </c>
      <c r="E72" s="15">
        <v>39</v>
      </c>
      <c r="F72" s="15">
        <v>0</v>
      </c>
      <c r="G72" s="15"/>
      <c r="H72" s="16">
        <v>1121.0503999999999</v>
      </c>
      <c r="I72" s="15">
        <v>734.94960000000015</v>
      </c>
      <c r="J72" s="15">
        <v>244.98320000000001</v>
      </c>
      <c r="K72" s="17">
        <v>65.559015009494686</v>
      </c>
      <c r="L72">
        <v>4484.2015999999994</v>
      </c>
    </row>
    <row r="73" spans="1:12" x14ac:dyDescent="0.3">
      <c r="A73" s="13">
        <v>2967213</v>
      </c>
      <c r="B73" s="14" t="s">
        <v>272</v>
      </c>
      <c r="C73" s="15">
        <v>2163</v>
      </c>
      <c r="D73" s="15">
        <v>1466.5139999999999</v>
      </c>
      <c r="E73" s="15">
        <v>49</v>
      </c>
      <c r="F73" s="15">
        <v>0</v>
      </c>
      <c r="G73" s="15"/>
      <c r="H73" s="16">
        <v>1264.144</v>
      </c>
      <c r="I73" s="15">
        <v>898.85599999999999</v>
      </c>
      <c r="J73" s="15">
        <v>256.81599999999997</v>
      </c>
      <c r="K73" s="17">
        <v>71.103924869318675</v>
      </c>
      <c r="L73">
        <v>5056.5760000000009</v>
      </c>
    </row>
    <row r="74" spans="1:12" x14ac:dyDescent="0.3">
      <c r="A74" s="13">
        <v>2968213</v>
      </c>
      <c r="B74" s="14" t="s">
        <v>114</v>
      </c>
      <c r="C74" s="15">
        <v>1502</v>
      </c>
      <c r="D74" s="15">
        <v>1171.7102</v>
      </c>
      <c r="E74" s="15">
        <v>15</v>
      </c>
      <c r="F74" s="15">
        <v>0</v>
      </c>
      <c r="G74" s="15"/>
      <c r="H74" s="16">
        <v>1109.7601999999999</v>
      </c>
      <c r="I74" s="15">
        <v>392.23980000000006</v>
      </c>
      <c r="J74" s="15">
        <v>112.06851428571434</v>
      </c>
      <c r="K74" s="17">
        <v>35.344554616393708</v>
      </c>
      <c r="L74">
        <v>4439.0408000000007</v>
      </c>
    </row>
    <row r="75" spans="1:12" x14ac:dyDescent="0.3">
      <c r="A75" s="13">
        <v>2971195</v>
      </c>
      <c r="B75" s="14" t="s">
        <v>269</v>
      </c>
      <c r="C75" s="15">
        <v>1181</v>
      </c>
      <c r="D75" s="15">
        <v>898.26859999999999</v>
      </c>
      <c r="E75" s="15">
        <v>40</v>
      </c>
      <c r="F75" s="15">
        <v>0</v>
      </c>
      <c r="G75" s="15"/>
      <c r="H75" s="16">
        <v>780.26859999999999</v>
      </c>
      <c r="I75" s="15">
        <v>400.73140000000001</v>
      </c>
      <c r="J75" s="15">
        <v>160.29255999999998</v>
      </c>
      <c r="K75" s="17">
        <v>51.358134878168883</v>
      </c>
      <c r="L75">
        <v>3121.0744</v>
      </c>
    </row>
    <row r="76" spans="1:12" x14ac:dyDescent="0.3">
      <c r="A76" s="13">
        <v>2971225</v>
      </c>
      <c r="B76" s="14" t="s">
        <v>270</v>
      </c>
      <c r="C76" s="15">
        <v>592</v>
      </c>
      <c r="D76" s="15">
        <v>441.57279999999997</v>
      </c>
      <c r="E76" s="15">
        <v>40</v>
      </c>
      <c r="F76" s="15">
        <v>0</v>
      </c>
      <c r="G76" s="15"/>
      <c r="H76" s="16">
        <v>384.93279999999993</v>
      </c>
      <c r="I76" s="15">
        <v>207.06720000000007</v>
      </c>
      <c r="J76" s="15">
        <v>172.5560000000001</v>
      </c>
      <c r="K76" s="17">
        <v>53.793077648877961</v>
      </c>
      <c r="L76">
        <v>7698.655999999999</v>
      </c>
    </row>
    <row r="77" spans="1:12" x14ac:dyDescent="0.3">
      <c r="A77" s="13">
        <v>2972184</v>
      </c>
      <c r="B77" s="14" t="s">
        <v>124</v>
      </c>
      <c r="C77" s="15">
        <v>600</v>
      </c>
      <c r="D77" s="15">
        <v>570</v>
      </c>
      <c r="E77" s="15">
        <v>0</v>
      </c>
      <c r="F77" s="15">
        <v>0</v>
      </c>
      <c r="G77" s="15"/>
      <c r="H77" s="16">
        <v>570</v>
      </c>
      <c r="I77" s="15">
        <v>30</v>
      </c>
      <c r="J77" s="15">
        <v>30</v>
      </c>
      <c r="K77" s="17">
        <v>5.2631578947368416</v>
      </c>
      <c r="L77">
        <v>11400.000000000007</v>
      </c>
    </row>
    <row r="78" spans="1:12" x14ac:dyDescent="0.3">
      <c r="A78" s="13">
        <v>3001265</v>
      </c>
      <c r="B78" s="14" t="s">
        <v>328</v>
      </c>
      <c r="C78" s="15">
        <v>5910</v>
      </c>
      <c r="D78" s="15">
        <v>5582.5859999999993</v>
      </c>
      <c r="E78" s="15">
        <v>0</v>
      </c>
      <c r="F78" s="15">
        <v>0</v>
      </c>
      <c r="G78" s="15"/>
      <c r="H78" s="16">
        <v>5582.5859999999993</v>
      </c>
      <c r="I78" s="15">
        <v>327.41400000000067</v>
      </c>
      <c r="J78" s="15">
        <v>16.370700000000056</v>
      </c>
      <c r="K78" s="17">
        <v>5.8649163667160833</v>
      </c>
      <c r="L78">
        <v>5582.586000000003</v>
      </c>
    </row>
    <row r="79" spans="1:12" x14ac:dyDescent="0.3">
      <c r="A79" s="13">
        <v>3002265</v>
      </c>
      <c r="B79" s="14" t="s">
        <v>329</v>
      </c>
      <c r="C79" s="15">
        <v>5982</v>
      </c>
      <c r="D79" s="15">
        <v>5649.4007999999994</v>
      </c>
      <c r="E79" s="15">
        <v>0</v>
      </c>
      <c r="F79" s="15">
        <v>0</v>
      </c>
      <c r="G79" s="15"/>
      <c r="H79" s="16">
        <v>5649.4007999999985</v>
      </c>
      <c r="I79" s="15">
        <v>332.59920000000147</v>
      </c>
      <c r="J79" s="15">
        <v>16.629960000000096</v>
      </c>
      <c r="K79" s="17">
        <v>5.8873358746294224</v>
      </c>
      <c r="L79">
        <v>5649.4008000000022</v>
      </c>
    </row>
    <row r="80" spans="1:12" x14ac:dyDescent="0.3">
      <c r="A80" s="13">
        <v>3006234</v>
      </c>
      <c r="B80" s="14" t="s">
        <v>330</v>
      </c>
      <c r="C80" s="15">
        <v>1608</v>
      </c>
      <c r="D80" s="15">
        <v>1516.1832000000002</v>
      </c>
      <c r="E80" s="15">
        <v>72</v>
      </c>
      <c r="F80" s="15">
        <v>0</v>
      </c>
      <c r="G80" s="15"/>
      <c r="H80" s="16">
        <v>1091.3832000000002</v>
      </c>
      <c r="I80" s="15">
        <v>516.61679999999978</v>
      </c>
      <c r="J80" s="15">
        <v>103.32335999999998</v>
      </c>
      <c r="K80" s="17">
        <v>47.335967788399131</v>
      </c>
      <c r="L80">
        <v>4365.5328000000036</v>
      </c>
    </row>
    <row r="81" spans="1:12" x14ac:dyDescent="0.3">
      <c r="A81" s="13">
        <v>3006265</v>
      </c>
      <c r="B81" s="14" t="s">
        <v>331</v>
      </c>
      <c r="C81" s="15">
        <v>6236</v>
      </c>
      <c r="D81" s="15">
        <v>5884.9132000000009</v>
      </c>
      <c r="E81" s="15">
        <v>75</v>
      </c>
      <c r="F81" s="15">
        <v>0</v>
      </c>
      <c r="G81" s="15"/>
      <c r="H81" s="16">
        <v>4114.9132000000009</v>
      </c>
      <c r="I81" s="15">
        <v>2121.0867999999991</v>
      </c>
      <c r="J81" s="15">
        <v>106.05433999999997</v>
      </c>
      <c r="K81" s="17">
        <v>51.546331524076827</v>
      </c>
      <c r="L81">
        <v>4114.9132000000036</v>
      </c>
    </row>
    <row r="82" spans="1:12" x14ac:dyDescent="0.3">
      <c r="A82" s="13">
        <v>3020265</v>
      </c>
      <c r="B82" s="14" t="s">
        <v>332</v>
      </c>
      <c r="C82" s="15">
        <v>6053</v>
      </c>
      <c r="D82" s="15">
        <v>5714.6372999999994</v>
      </c>
      <c r="E82" s="15">
        <v>0</v>
      </c>
      <c r="F82" s="15">
        <v>0</v>
      </c>
      <c r="G82" s="15"/>
      <c r="H82" s="16">
        <v>5714.6372999999994</v>
      </c>
      <c r="I82" s="15">
        <v>338.36270000000059</v>
      </c>
      <c r="J82" s="15">
        <v>16.918135000000007</v>
      </c>
      <c r="K82" s="17">
        <v>5.9209829467217565</v>
      </c>
      <c r="L82">
        <v>5714.6373000000031</v>
      </c>
    </row>
    <row r="83" spans="1:12" x14ac:dyDescent="0.3">
      <c r="A83" s="13">
        <v>3040265</v>
      </c>
      <c r="B83" s="14" t="s">
        <v>335</v>
      </c>
      <c r="C83" s="15">
        <v>5475</v>
      </c>
      <c r="D83" s="15">
        <v>4365.7650000000003</v>
      </c>
      <c r="E83" s="15">
        <v>34</v>
      </c>
      <c r="F83" s="15">
        <v>0</v>
      </c>
      <c r="G83" s="15"/>
      <c r="H83" s="16">
        <v>3563.3650000000007</v>
      </c>
      <c r="I83" s="15">
        <v>1911.6349999999993</v>
      </c>
      <c r="J83" s="15">
        <v>95.581749999999971</v>
      </c>
      <c r="K83" s="17">
        <v>53.646903979805572</v>
      </c>
      <c r="L83">
        <v>3563.365000000003</v>
      </c>
    </row>
    <row r="84" spans="1:12" x14ac:dyDescent="0.3">
      <c r="A84" s="13">
        <v>3057265</v>
      </c>
      <c r="B84" s="14" t="s">
        <v>336</v>
      </c>
      <c r="C84" s="15">
        <v>6704</v>
      </c>
      <c r="D84" s="15">
        <v>5587.1135999999997</v>
      </c>
      <c r="E84" s="15">
        <v>0</v>
      </c>
      <c r="F84" s="15">
        <v>0</v>
      </c>
      <c r="G84" s="15"/>
      <c r="H84" s="16">
        <v>5587.1135999999997</v>
      </c>
      <c r="I84" s="15">
        <v>1116.8864000000003</v>
      </c>
      <c r="J84" s="15">
        <v>55.844319999999982</v>
      </c>
      <c r="K84" s="17">
        <v>19.990400767938571</v>
      </c>
      <c r="L84">
        <v>5587.1136000000033</v>
      </c>
    </row>
    <row r="85" spans="1:12" x14ac:dyDescent="0.3">
      <c r="A85" s="13">
        <v>3059265</v>
      </c>
      <c r="B85" s="14" t="s">
        <v>337</v>
      </c>
      <c r="C85" s="15">
        <v>7303</v>
      </c>
      <c r="D85" s="15">
        <v>6085.5898999999999</v>
      </c>
      <c r="E85" s="15">
        <v>0</v>
      </c>
      <c r="F85" s="15">
        <v>0</v>
      </c>
      <c r="G85" s="15"/>
      <c r="H85" s="16">
        <v>6085.5898999999999</v>
      </c>
      <c r="I85" s="15">
        <v>1217.4101000000001</v>
      </c>
      <c r="J85" s="15">
        <v>60.87050499999998</v>
      </c>
      <c r="K85" s="17">
        <v>20.004800192007682</v>
      </c>
      <c r="L85">
        <v>6085.5899000000036</v>
      </c>
    </row>
    <row r="86" spans="1:12" x14ac:dyDescent="0.3">
      <c r="A86" s="13">
        <v>3060265</v>
      </c>
      <c r="B86" s="14" t="s">
        <v>343</v>
      </c>
      <c r="C86" s="15">
        <v>7300</v>
      </c>
      <c r="D86" s="15">
        <v>6515.98</v>
      </c>
      <c r="E86" s="15">
        <v>0</v>
      </c>
      <c r="F86" s="15">
        <v>0</v>
      </c>
      <c r="G86" s="15"/>
      <c r="H86" s="16">
        <v>6515.98</v>
      </c>
      <c r="I86" s="15">
        <v>784.02000000000044</v>
      </c>
      <c r="J86" s="15">
        <v>39.201000000000022</v>
      </c>
      <c r="K86" s="17">
        <v>12.032265292404221</v>
      </c>
      <c r="L86">
        <v>6515.9800000000041</v>
      </c>
    </row>
    <row r="87" spans="1:12" x14ac:dyDescent="0.3">
      <c r="A87" s="13">
        <v>3064265</v>
      </c>
      <c r="B87" s="14" t="s">
        <v>338</v>
      </c>
      <c r="C87" s="15">
        <v>6792</v>
      </c>
      <c r="D87" s="15">
        <v>6399.4223999999995</v>
      </c>
      <c r="E87" s="15">
        <v>0</v>
      </c>
      <c r="F87" s="15">
        <v>0</v>
      </c>
      <c r="G87" s="15"/>
      <c r="H87" s="16">
        <v>6399.4223999999995</v>
      </c>
      <c r="I87" s="15">
        <v>392.57760000000053</v>
      </c>
      <c r="J87" s="15">
        <v>19.628880000000038</v>
      </c>
      <c r="K87" s="17">
        <v>6.1345786457227849</v>
      </c>
      <c r="L87">
        <v>6399.422400000004</v>
      </c>
    </row>
    <row r="88" spans="1:12" x14ac:dyDescent="0.3">
      <c r="A88" s="13">
        <v>3077184</v>
      </c>
      <c r="B88" s="14" t="s">
        <v>342</v>
      </c>
      <c r="C88" s="15">
        <v>375</v>
      </c>
      <c r="D88" s="15">
        <v>334.72500000000002</v>
      </c>
      <c r="E88" s="15">
        <v>0</v>
      </c>
      <c r="F88" s="15">
        <v>0</v>
      </c>
      <c r="G88" s="15"/>
      <c r="H88" s="16">
        <v>334.72500000000008</v>
      </c>
      <c r="I88" s="15">
        <v>40.27499999999992</v>
      </c>
      <c r="J88" s="15">
        <v>40.27499999999992</v>
      </c>
      <c r="K88" s="17">
        <v>12.032265292404185</v>
      </c>
      <c r="L88">
        <v>6694.5000000000064</v>
      </c>
    </row>
    <row r="89" spans="1:12" x14ac:dyDescent="0.3">
      <c r="A89" s="13">
        <v>3084265</v>
      </c>
      <c r="B89" s="14" t="s">
        <v>339</v>
      </c>
      <c r="C89" s="15">
        <v>6378</v>
      </c>
      <c r="D89" s="15">
        <v>6016.3674000000001</v>
      </c>
      <c r="E89" s="15">
        <v>0</v>
      </c>
      <c r="F89" s="15">
        <v>0</v>
      </c>
      <c r="G89" s="15"/>
      <c r="H89" s="16">
        <v>6016.3674000000001</v>
      </c>
      <c r="I89" s="15">
        <v>361.63259999999991</v>
      </c>
      <c r="J89" s="15">
        <v>18.081629999999961</v>
      </c>
      <c r="K89" s="17">
        <v>6.0108131029364982</v>
      </c>
      <c r="L89">
        <v>6016.3674000000037</v>
      </c>
    </row>
    <row r="90" spans="1:12" x14ac:dyDescent="0.3">
      <c r="A90" s="13">
        <v>3614265</v>
      </c>
      <c r="B90" s="14" t="s">
        <v>333</v>
      </c>
      <c r="C90" s="15">
        <v>6585</v>
      </c>
      <c r="D90" s="15">
        <v>6208.3380000000006</v>
      </c>
      <c r="E90" s="15">
        <v>0</v>
      </c>
      <c r="F90" s="15">
        <v>0</v>
      </c>
      <c r="G90" s="15"/>
      <c r="H90" s="16">
        <v>6208.3380000000006</v>
      </c>
      <c r="I90" s="15">
        <v>376.66199999999935</v>
      </c>
      <c r="J90" s="15">
        <v>18.833099999999945</v>
      </c>
      <c r="K90" s="17">
        <v>6.067034365719123</v>
      </c>
      <c r="L90">
        <v>6208.3380000000052</v>
      </c>
    </row>
    <row r="91" spans="1:12" x14ac:dyDescent="0.3">
      <c r="A91" s="13">
        <v>3617265</v>
      </c>
      <c r="B91" s="14" t="s">
        <v>334</v>
      </c>
      <c r="C91" s="15">
        <v>6383</v>
      </c>
      <c r="D91" s="15">
        <v>6021.0839000000005</v>
      </c>
      <c r="E91" s="15">
        <v>0</v>
      </c>
      <c r="F91" s="15">
        <v>0</v>
      </c>
      <c r="G91" s="15"/>
      <c r="H91" s="16">
        <v>6021.0839000000005</v>
      </c>
      <c r="I91" s="15">
        <v>361.91609999999946</v>
      </c>
      <c r="J91" s="15">
        <v>18.095804999999928</v>
      </c>
      <c r="K91" s="17">
        <v>6.0108131029364902</v>
      </c>
      <c r="L91">
        <v>6021.0839000000042</v>
      </c>
    </row>
    <row r="92" spans="1:12" x14ac:dyDescent="0.3">
      <c r="A92" s="13">
        <v>3723213</v>
      </c>
      <c r="B92" s="14" t="s">
        <v>225</v>
      </c>
      <c r="C92" s="15">
        <v>1176</v>
      </c>
      <c r="D92" s="15">
        <v>947.38559999999995</v>
      </c>
      <c r="E92" s="15">
        <v>15</v>
      </c>
      <c r="F92" s="15">
        <v>0</v>
      </c>
      <c r="G92" s="15"/>
      <c r="H92" s="16">
        <v>885.43559999999991</v>
      </c>
      <c r="I92" s="15">
        <v>290.56440000000009</v>
      </c>
      <c r="J92" s="15">
        <v>83.018400000000014</v>
      </c>
      <c r="K92" s="17">
        <v>32.81598345492322</v>
      </c>
      <c r="L92">
        <v>3541.7424000000005</v>
      </c>
    </row>
    <row r="93" spans="1:12" x14ac:dyDescent="0.3">
      <c r="A93" s="13">
        <v>3725213</v>
      </c>
      <c r="B93" s="14" t="s">
        <v>226</v>
      </c>
      <c r="C93" s="15">
        <v>1121</v>
      </c>
      <c r="D93" s="15">
        <v>828.75530000000015</v>
      </c>
      <c r="E93" s="15">
        <v>0</v>
      </c>
      <c r="F93" s="15">
        <v>0</v>
      </c>
      <c r="G93" s="15"/>
      <c r="H93" s="16">
        <v>828.75530000000015</v>
      </c>
      <c r="I93" s="15">
        <v>292.24469999999985</v>
      </c>
      <c r="J93" s="15">
        <v>83.498485714285664</v>
      </c>
      <c r="K93" s="17">
        <v>35.26308670363855</v>
      </c>
      <c r="L93">
        <v>3315.0212000000015</v>
      </c>
    </row>
    <row r="94" spans="1:12" x14ac:dyDescent="0.3">
      <c r="A94" s="13">
        <v>4501265</v>
      </c>
      <c r="B94" s="14" t="s">
        <v>340</v>
      </c>
      <c r="C94" s="15">
        <v>6098</v>
      </c>
      <c r="D94" s="15">
        <v>5669.3105999999998</v>
      </c>
      <c r="E94" s="15">
        <v>0</v>
      </c>
      <c r="F94" s="15">
        <v>0</v>
      </c>
      <c r="G94" s="15"/>
      <c r="H94" s="16">
        <v>5669.3105999999998</v>
      </c>
      <c r="I94" s="15">
        <v>428.68940000000021</v>
      </c>
      <c r="J94" s="15">
        <v>21.434469999999976</v>
      </c>
      <c r="K94" s="17">
        <v>7.5615790039797819</v>
      </c>
      <c r="L94">
        <v>5669.3106000000034</v>
      </c>
    </row>
    <row r="95" spans="1:12" x14ac:dyDescent="0.3">
      <c r="A95" s="13">
        <v>4906175</v>
      </c>
      <c r="B95" s="14" t="s">
        <v>213</v>
      </c>
      <c r="C95" s="15">
        <v>221</v>
      </c>
      <c r="D95" s="15">
        <v>172.1369</v>
      </c>
      <c r="E95" s="15">
        <v>9</v>
      </c>
      <c r="F95" s="15">
        <v>0</v>
      </c>
      <c r="G95" s="15"/>
      <c r="H95" s="16">
        <v>166.82689999999999</v>
      </c>
      <c r="I95" s="15">
        <v>54.173100000000005</v>
      </c>
      <c r="J95" s="15">
        <v>108.34620000000001</v>
      </c>
      <c r="K95" s="17">
        <v>32.472640803131874</v>
      </c>
      <c r="L95">
        <v>3336.5380000000018</v>
      </c>
    </row>
    <row r="96" spans="1:12" x14ac:dyDescent="0.3">
      <c r="A96" s="13">
        <v>4906184</v>
      </c>
      <c r="B96" s="14" t="s">
        <v>214</v>
      </c>
      <c r="C96" s="15">
        <v>420</v>
      </c>
      <c r="D96" s="15">
        <v>332.59799999999996</v>
      </c>
      <c r="E96" s="15">
        <v>9</v>
      </c>
      <c r="F96" s="15">
        <v>0</v>
      </c>
      <c r="G96" s="15"/>
      <c r="H96" s="16">
        <v>321.97799999999995</v>
      </c>
      <c r="I96" s="15">
        <v>98.022000000000048</v>
      </c>
      <c r="J96" s="15">
        <v>98.022000000000048</v>
      </c>
      <c r="K96" s="17">
        <v>30.443694910832438</v>
      </c>
      <c r="L96">
        <v>6439.560000000004</v>
      </c>
    </row>
    <row r="97" spans="1:12" x14ac:dyDescent="0.3">
      <c r="A97" s="13">
        <v>4906234</v>
      </c>
      <c r="B97" s="14" t="s">
        <v>215</v>
      </c>
      <c r="C97" s="15">
        <v>2000</v>
      </c>
      <c r="D97" s="15">
        <v>1628</v>
      </c>
      <c r="E97" s="15">
        <v>9</v>
      </c>
      <c r="F97" s="15">
        <v>0</v>
      </c>
      <c r="G97" s="15"/>
      <c r="H97" s="16">
        <v>1574.8999999999999</v>
      </c>
      <c r="I97" s="15">
        <v>425.10000000000014</v>
      </c>
      <c r="J97" s="15">
        <v>85.020000000000039</v>
      </c>
      <c r="K97" s="17">
        <v>26.992189980316223</v>
      </c>
      <c r="L97">
        <v>6299.600000000004</v>
      </c>
    </row>
    <row r="98" spans="1:12" x14ac:dyDescent="0.3">
      <c r="A98" s="13">
        <v>4929242</v>
      </c>
      <c r="B98" s="14" t="s">
        <v>344</v>
      </c>
      <c r="C98" s="15">
        <v>4400</v>
      </c>
      <c r="D98" s="15">
        <v>3927.44</v>
      </c>
      <c r="E98" s="15">
        <v>0</v>
      </c>
      <c r="F98" s="15">
        <v>0</v>
      </c>
      <c r="G98" s="15"/>
      <c r="H98" s="16">
        <v>3927.44</v>
      </c>
      <c r="I98" s="15">
        <v>472.55999999999995</v>
      </c>
      <c r="J98" s="15">
        <v>47.255999999999972</v>
      </c>
      <c r="K98" s="17">
        <v>12.032265292404212</v>
      </c>
      <c r="L98">
        <v>3927.4400000000019</v>
      </c>
    </row>
    <row r="99" spans="1:12" x14ac:dyDescent="0.3">
      <c r="A99" s="13">
        <v>4929256</v>
      </c>
      <c r="B99" s="14" t="s">
        <v>345</v>
      </c>
      <c r="C99" s="15">
        <v>5985</v>
      </c>
      <c r="D99" s="15">
        <v>5342.2109999999993</v>
      </c>
      <c r="E99" s="15">
        <v>0</v>
      </c>
      <c r="F99" s="15">
        <v>0</v>
      </c>
      <c r="G99" s="15"/>
      <c r="H99" s="16">
        <v>5342.2109999999993</v>
      </c>
      <c r="I99" s="15">
        <v>642.78900000000067</v>
      </c>
      <c r="J99" s="15">
        <v>42.852600000000052</v>
      </c>
      <c r="K99" s="17">
        <v>12.032265292404226</v>
      </c>
      <c r="L99">
        <v>5342.211000000003</v>
      </c>
    </row>
    <row r="100" spans="1:12" x14ac:dyDescent="0.3">
      <c r="A100" s="13">
        <v>4943184</v>
      </c>
      <c r="B100" s="14" t="s">
        <v>115</v>
      </c>
      <c r="C100" s="15">
        <v>350</v>
      </c>
      <c r="D100" s="15">
        <v>296.66000000000003</v>
      </c>
      <c r="E100" s="15">
        <v>0</v>
      </c>
      <c r="F100" s="15">
        <v>0</v>
      </c>
      <c r="G100" s="15"/>
      <c r="H100" s="16">
        <v>296.66000000000003</v>
      </c>
      <c r="I100" s="15">
        <v>53.339999999999975</v>
      </c>
      <c r="J100" s="15">
        <v>53.339999999999975</v>
      </c>
      <c r="K100" s="17">
        <v>17.980179329872573</v>
      </c>
      <c r="L100">
        <v>5933.2000000000044</v>
      </c>
    </row>
    <row r="101" spans="1:12" x14ac:dyDescent="0.3">
      <c r="A101" s="13">
        <v>4950184</v>
      </c>
      <c r="B101" s="14" t="s">
        <v>227</v>
      </c>
      <c r="C101" s="15">
        <v>385</v>
      </c>
      <c r="D101" s="15">
        <v>311.58050000000003</v>
      </c>
      <c r="E101" s="15">
        <v>25</v>
      </c>
      <c r="F101" s="15">
        <v>0</v>
      </c>
      <c r="G101" s="15"/>
      <c r="H101" s="16">
        <v>282.08050000000003</v>
      </c>
      <c r="I101" s="15">
        <v>102.91949999999997</v>
      </c>
      <c r="J101" s="15">
        <v>102.91949999999997</v>
      </c>
      <c r="K101" s="17">
        <v>36.485861305549285</v>
      </c>
      <c r="L101">
        <v>5641.6100000000042</v>
      </c>
    </row>
    <row r="102" spans="1:12" x14ac:dyDescent="0.3">
      <c r="A102" s="13">
        <v>4950234</v>
      </c>
      <c r="B102" s="14" t="s">
        <v>228</v>
      </c>
      <c r="C102" s="15">
        <v>1900</v>
      </c>
      <c r="D102" s="15">
        <v>1534.44</v>
      </c>
      <c r="E102" s="15">
        <v>39</v>
      </c>
      <c r="F102" s="15">
        <v>0</v>
      </c>
      <c r="G102" s="15"/>
      <c r="H102" s="16">
        <v>1304.3400000000001</v>
      </c>
      <c r="I102" s="15">
        <v>595.65999999999985</v>
      </c>
      <c r="J102" s="15">
        <v>119.13199999999995</v>
      </c>
      <c r="K102" s="17">
        <v>45.667540671910686</v>
      </c>
      <c r="L102">
        <v>5217.3600000000042</v>
      </c>
    </row>
    <row r="103" spans="1:12" x14ac:dyDescent="0.3">
      <c r="A103" s="13">
        <v>4950269</v>
      </c>
      <c r="B103" s="14" t="s">
        <v>229</v>
      </c>
      <c r="C103" s="15">
        <v>6620</v>
      </c>
      <c r="D103" s="15">
        <v>5449.5839999999989</v>
      </c>
      <c r="E103" s="15">
        <v>34</v>
      </c>
      <c r="F103" s="15">
        <v>0</v>
      </c>
      <c r="G103" s="15"/>
      <c r="H103" s="16">
        <v>4647.1839999999984</v>
      </c>
      <c r="I103" s="15">
        <v>1972.8160000000016</v>
      </c>
      <c r="J103" s="15">
        <v>98.64080000000007</v>
      </c>
      <c r="K103" s="17">
        <v>42.451859018278647</v>
      </c>
      <c r="L103">
        <v>4647.1839999999984</v>
      </c>
    </row>
    <row r="104" spans="1:12" x14ac:dyDescent="0.3">
      <c r="A104" s="13">
        <v>5034184</v>
      </c>
      <c r="B104" s="14" t="s">
        <v>141</v>
      </c>
      <c r="C104" s="15">
        <v>325</v>
      </c>
      <c r="D104" s="15">
        <v>237.60749999999999</v>
      </c>
      <c r="E104" s="15">
        <v>13</v>
      </c>
      <c r="F104" s="15">
        <v>0</v>
      </c>
      <c r="G104" s="15"/>
      <c r="H104" s="16">
        <v>222.26749999999998</v>
      </c>
      <c r="I104" s="15">
        <v>102.73250000000002</v>
      </c>
      <c r="J104" s="15">
        <v>102.73250000000002</v>
      </c>
      <c r="K104" s="17">
        <v>46.220207632694851</v>
      </c>
      <c r="L104">
        <v>4445.3500000000031</v>
      </c>
    </row>
    <row r="105" spans="1:12" x14ac:dyDescent="0.3">
      <c r="A105" s="13">
        <v>5034203</v>
      </c>
      <c r="B105" s="14" t="s">
        <v>142</v>
      </c>
      <c r="C105" s="15">
        <v>1040</v>
      </c>
      <c r="D105" s="15">
        <v>771.05600000000004</v>
      </c>
      <c r="E105" s="15">
        <v>13</v>
      </c>
      <c r="F105" s="15">
        <v>0</v>
      </c>
      <c r="G105" s="15"/>
      <c r="H105" s="16">
        <v>725.03599999999994</v>
      </c>
      <c r="I105" s="15">
        <v>314.96400000000006</v>
      </c>
      <c r="J105" s="15">
        <v>104.98800000000003</v>
      </c>
      <c r="K105" s="17">
        <v>43.441153266872277</v>
      </c>
      <c r="L105">
        <v>2900.1440000000011</v>
      </c>
    </row>
    <row r="106" spans="1:12" x14ac:dyDescent="0.3">
      <c r="A106" s="13">
        <v>5034229</v>
      </c>
      <c r="B106" s="14" t="s">
        <v>143</v>
      </c>
      <c r="C106" s="15">
        <v>355</v>
      </c>
      <c r="D106" s="15">
        <v>259.54050000000001</v>
      </c>
      <c r="E106" s="15">
        <v>13</v>
      </c>
      <c r="F106" s="15">
        <v>0</v>
      </c>
      <c r="G106" s="15"/>
      <c r="H106" s="16">
        <v>244.20050000000001</v>
      </c>
      <c r="I106" s="15">
        <v>110.79949999999999</v>
      </c>
      <c r="J106" s="15">
        <v>110.79949999999999</v>
      </c>
      <c r="K106" s="17">
        <v>45.372347722465754</v>
      </c>
      <c r="L106">
        <v>4884.01</v>
      </c>
    </row>
    <row r="107" spans="1:12" x14ac:dyDescent="0.3">
      <c r="A107" s="13">
        <v>6488184</v>
      </c>
      <c r="B107" s="14" t="s">
        <v>318</v>
      </c>
      <c r="C107" s="15">
        <v>295</v>
      </c>
      <c r="D107" s="15">
        <v>172.19149999999999</v>
      </c>
      <c r="E107" s="15">
        <v>0</v>
      </c>
      <c r="F107" s="15">
        <v>0</v>
      </c>
      <c r="G107" s="15"/>
      <c r="H107" s="16">
        <v>172.19149999999999</v>
      </c>
      <c r="I107" s="15">
        <v>122.80850000000001</v>
      </c>
      <c r="J107" s="15">
        <v>122.80850000000001</v>
      </c>
      <c r="K107" s="17">
        <v>71.320884015761536</v>
      </c>
      <c r="L107">
        <v>3443.8300000000022</v>
      </c>
    </row>
    <row r="108" spans="1:12" x14ac:dyDescent="0.3">
      <c r="A108" s="13">
        <v>6489184</v>
      </c>
      <c r="B108" s="14" t="s">
        <v>319</v>
      </c>
      <c r="C108" s="15">
        <v>270</v>
      </c>
      <c r="D108" s="15">
        <v>148.446</v>
      </c>
      <c r="E108" s="15">
        <v>0</v>
      </c>
      <c r="F108" s="15">
        <v>0</v>
      </c>
      <c r="G108" s="15"/>
      <c r="H108" s="16">
        <v>148.446</v>
      </c>
      <c r="I108" s="15">
        <v>121.554</v>
      </c>
      <c r="J108" s="15">
        <v>121.554</v>
      </c>
      <c r="K108" s="17">
        <v>81.884321571480541</v>
      </c>
      <c r="L108">
        <v>2968.9200000000019</v>
      </c>
    </row>
    <row r="109" spans="1:12" x14ac:dyDescent="0.3">
      <c r="A109" s="13">
        <v>7205222</v>
      </c>
      <c r="B109" s="14" t="s">
        <v>116</v>
      </c>
      <c r="C109" s="15">
        <v>1960</v>
      </c>
      <c r="D109" s="15">
        <v>1616.02</v>
      </c>
      <c r="E109" s="15">
        <v>0</v>
      </c>
      <c r="F109" s="15">
        <v>0</v>
      </c>
      <c r="G109" s="15"/>
      <c r="H109" s="16">
        <v>1616.02</v>
      </c>
      <c r="I109" s="15">
        <v>343.98</v>
      </c>
      <c r="J109" s="15">
        <v>85.995000000000005</v>
      </c>
      <c r="K109" s="17">
        <v>21.285627653123107</v>
      </c>
      <c r="L109">
        <v>6464.0800000000045</v>
      </c>
    </row>
    <row r="110" spans="1:12" x14ac:dyDescent="0.3">
      <c r="A110" s="13">
        <v>7209213</v>
      </c>
      <c r="B110" s="14" t="s">
        <v>112</v>
      </c>
      <c r="C110" s="15">
        <v>3885</v>
      </c>
      <c r="D110" s="15">
        <v>3130.9215000000004</v>
      </c>
      <c r="E110" s="15">
        <v>0</v>
      </c>
      <c r="F110" s="15">
        <v>0</v>
      </c>
      <c r="G110" s="15"/>
      <c r="H110" s="16">
        <v>3130.9215000000004</v>
      </c>
      <c r="I110" s="15">
        <v>754.07849999999962</v>
      </c>
      <c r="J110" s="15">
        <v>215.45099999999991</v>
      </c>
      <c r="K110" s="17">
        <v>24.084874053852818</v>
      </c>
      <c r="L110">
        <v>12523.686000000005</v>
      </c>
    </row>
    <row r="111" spans="1:12" x14ac:dyDescent="0.3">
      <c r="A111" s="13">
        <v>7211213</v>
      </c>
      <c r="B111" s="14" t="s">
        <v>275</v>
      </c>
      <c r="C111" s="15">
        <v>1786</v>
      </c>
      <c r="D111" s="15">
        <v>1445.7670000000001</v>
      </c>
      <c r="E111" s="15">
        <v>55</v>
      </c>
      <c r="F111" s="15">
        <v>0</v>
      </c>
      <c r="G111" s="15"/>
      <c r="H111" s="16">
        <v>1218.617</v>
      </c>
      <c r="I111" s="15">
        <v>567.38300000000004</v>
      </c>
      <c r="J111" s="15">
        <v>162.10942857142857</v>
      </c>
      <c r="K111" s="17">
        <v>46.559583527884485</v>
      </c>
      <c r="L111">
        <v>4874.4680000000008</v>
      </c>
    </row>
    <row r="112" spans="1:12" x14ac:dyDescent="0.3">
      <c r="A112" s="13">
        <v>7226184</v>
      </c>
      <c r="B112" s="14" t="s">
        <v>240</v>
      </c>
      <c r="C112" s="15">
        <v>369</v>
      </c>
      <c r="D112" s="15">
        <v>301.65750000000003</v>
      </c>
      <c r="E112" s="15">
        <v>41</v>
      </c>
      <c r="F112" s="15">
        <v>0</v>
      </c>
      <c r="G112" s="15"/>
      <c r="H112" s="16">
        <v>253.27750000000006</v>
      </c>
      <c r="I112" s="15">
        <v>115.72249999999994</v>
      </c>
      <c r="J112" s="15">
        <v>115.72249999999994</v>
      </c>
      <c r="K112" s="17">
        <v>45.690004046944523</v>
      </c>
      <c r="L112">
        <v>5065.5500000000047</v>
      </c>
    </row>
    <row r="113" spans="1:12" x14ac:dyDescent="0.3">
      <c r="A113" s="13">
        <v>7226251</v>
      </c>
      <c r="B113" s="14" t="s">
        <v>241</v>
      </c>
      <c r="C113" s="15">
        <v>2629</v>
      </c>
      <c r="D113" s="15">
        <v>2169.7136999999998</v>
      </c>
      <c r="E113" s="15">
        <v>28</v>
      </c>
      <c r="F113" s="15">
        <v>0</v>
      </c>
      <c r="G113" s="15"/>
      <c r="H113" s="16">
        <v>1921.9136999999998</v>
      </c>
      <c r="I113" s="15">
        <v>707.08630000000016</v>
      </c>
      <c r="J113" s="15">
        <v>94.27817333333337</v>
      </c>
      <c r="K113" s="17">
        <v>36.790741436517166</v>
      </c>
      <c r="L113">
        <v>1921.9137000000012</v>
      </c>
    </row>
    <row r="114" spans="1:12" x14ac:dyDescent="0.3">
      <c r="A114" s="13">
        <v>7227251</v>
      </c>
      <c r="B114" s="14" t="s">
        <v>234</v>
      </c>
      <c r="C114" s="15">
        <v>3411</v>
      </c>
      <c r="D114" s="15">
        <v>2633.9741999999997</v>
      </c>
      <c r="E114" s="15">
        <v>39</v>
      </c>
      <c r="F114" s="15">
        <v>0</v>
      </c>
      <c r="G114" s="15"/>
      <c r="H114" s="16">
        <v>2288.8241999999996</v>
      </c>
      <c r="I114" s="15">
        <v>1122.1758000000004</v>
      </c>
      <c r="J114" s="15">
        <v>149.62344000000007</v>
      </c>
      <c r="K114" s="17">
        <v>49.028483707923073</v>
      </c>
      <c r="L114">
        <v>2288.8242000000009</v>
      </c>
    </row>
    <row r="115" spans="1:12" x14ac:dyDescent="0.3">
      <c r="A115" s="13">
        <v>7227252</v>
      </c>
      <c r="B115" s="14" t="s">
        <v>235</v>
      </c>
      <c r="C115" s="15">
        <v>3851</v>
      </c>
      <c r="D115" s="15">
        <v>2976.0528000000004</v>
      </c>
      <c r="E115" s="15">
        <v>55</v>
      </c>
      <c r="F115" s="15">
        <v>0</v>
      </c>
      <c r="G115" s="15"/>
      <c r="H115" s="16">
        <v>2424.4028000000003</v>
      </c>
      <c r="I115" s="15">
        <v>1426.5971999999997</v>
      </c>
      <c r="J115" s="15">
        <v>167.83496470588233</v>
      </c>
      <c r="K115" s="17">
        <v>58.843241725343645</v>
      </c>
      <c r="L115">
        <v>2424.4028000000003</v>
      </c>
    </row>
    <row r="116" spans="1:12" x14ac:dyDescent="0.3">
      <c r="A116" s="13">
        <v>7231256</v>
      </c>
      <c r="B116" s="14" t="s">
        <v>144</v>
      </c>
      <c r="C116" s="15">
        <v>6300</v>
      </c>
      <c r="D116" s="15">
        <v>5211.99</v>
      </c>
      <c r="E116" s="15">
        <v>45</v>
      </c>
      <c r="F116" s="15">
        <v>0</v>
      </c>
      <c r="G116" s="15"/>
      <c r="H116" s="16">
        <v>4415.4900000000007</v>
      </c>
      <c r="I116" s="15">
        <v>1884.5099999999993</v>
      </c>
      <c r="J116" s="15">
        <v>125.63399999999996</v>
      </c>
      <c r="K116" s="17">
        <v>42.679521412119584</v>
      </c>
      <c r="L116">
        <v>4415.4900000000034</v>
      </c>
    </row>
    <row r="117" spans="1:12" x14ac:dyDescent="0.3">
      <c r="A117" s="13">
        <v>7232184</v>
      </c>
      <c r="B117" s="14" t="s">
        <v>121</v>
      </c>
      <c r="C117" s="15">
        <v>301</v>
      </c>
      <c r="D117" s="15">
        <v>256.99379999999996</v>
      </c>
      <c r="E117" s="15">
        <v>0</v>
      </c>
      <c r="F117" s="15">
        <v>0</v>
      </c>
      <c r="G117" s="15"/>
      <c r="H117" s="16">
        <v>256.99379999999996</v>
      </c>
      <c r="I117" s="15">
        <v>44.006200000000035</v>
      </c>
      <c r="J117" s="15">
        <v>44.006200000000035</v>
      </c>
      <c r="K117" s="17">
        <v>17.123448114312502</v>
      </c>
      <c r="L117">
        <v>5139.8760000000029</v>
      </c>
    </row>
    <row r="118" spans="1:12" x14ac:dyDescent="0.3">
      <c r="A118" s="13">
        <v>7264222</v>
      </c>
      <c r="B118" s="14" t="s">
        <v>127</v>
      </c>
      <c r="C118" s="15">
        <v>1760</v>
      </c>
      <c r="D118" s="15">
        <v>1485.9680000000001</v>
      </c>
      <c r="E118" s="15">
        <v>0</v>
      </c>
      <c r="F118" s="15">
        <v>0</v>
      </c>
      <c r="G118" s="15"/>
      <c r="H118" s="16">
        <v>1485.9680000000001</v>
      </c>
      <c r="I118" s="15">
        <v>274.03199999999993</v>
      </c>
      <c r="J118" s="15">
        <v>68.507999999999981</v>
      </c>
      <c r="K118" s="17">
        <v>18.441312329740608</v>
      </c>
      <c r="L118">
        <v>5943.8720000000039</v>
      </c>
    </row>
    <row r="119" spans="1:12" x14ac:dyDescent="0.3">
      <c r="A119" s="13">
        <v>7265234</v>
      </c>
      <c r="B119" s="14" t="s">
        <v>128</v>
      </c>
      <c r="C119" s="15">
        <v>3215</v>
      </c>
      <c r="D119" s="15">
        <v>2692.884</v>
      </c>
      <c r="E119" s="15">
        <v>0</v>
      </c>
      <c r="F119" s="15">
        <v>0</v>
      </c>
      <c r="G119" s="15"/>
      <c r="H119" s="16">
        <v>2692.884</v>
      </c>
      <c r="I119" s="15">
        <v>522.11599999999999</v>
      </c>
      <c r="J119" s="15">
        <v>104.42319999999995</v>
      </c>
      <c r="K119" s="17">
        <v>19.388729703915949</v>
      </c>
      <c r="L119">
        <v>10771.536000000007</v>
      </c>
    </row>
    <row r="120" spans="1:12" x14ac:dyDescent="0.3">
      <c r="A120" s="13">
        <v>7267234</v>
      </c>
      <c r="B120" s="14" t="s">
        <v>126</v>
      </c>
      <c r="C120" s="15">
        <v>5025</v>
      </c>
      <c r="D120" s="15">
        <v>4130.0474999999997</v>
      </c>
      <c r="E120" s="15">
        <v>0</v>
      </c>
      <c r="F120" s="15">
        <v>0</v>
      </c>
      <c r="G120" s="15"/>
      <c r="H120" s="16">
        <v>4130.0474999999997</v>
      </c>
      <c r="I120" s="15">
        <v>894.95250000000033</v>
      </c>
      <c r="J120" s="15">
        <v>178.99050000000011</v>
      </c>
      <c r="K120" s="17">
        <v>21.669302834894765</v>
      </c>
      <c r="L120">
        <v>16520.19000000001</v>
      </c>
    </row>
    <row r="121" spans="1:12" x14ac:dyDescent="0.3">
      <c r="A121" s="13">
        <v>7271111</v>
      </c>
      <c r="B121" s="14" t="s">
        <v>277</v>
      </c>
      <c r="C121" s="15">
        <v>2678</v>
      </c>
      <c r="D121" s="15">
        <v>2037.4223999999999</v>
      </c>
      <c r="E121" s="15">
        <v>79</v>
      </c>
      <c r="F121" s="15">
        <v>0</v>
      </c>
      <c r="G121" s="15"/>
      <c r="H121" s="16">
        <v>1711.1523999999999</v>
      </c>
      <c r="I121" s="15">
        <v>966.84760000000006</v>
      </c>
      <c r="J121" s="15">
        <v>276.2421714285714</v>
      </c>
      <c r="K121" s="17">
        <v>56.502717116254516</v>
      </c>
      <c r="L121">
        <v>6844.6095999999998</v>
      </c>
    </row>
    <row r="122" spans="1:12" x14ac:dyDescent="0.3">
      <c r="A122" s="13">
        <v>7271213</v>
      </c>
      <c r="B122" s="14" t="s">
        <v>276</v>
      </c>
      <c r="C122" s="15">
        <v>2678</v>
      </c>
      <c r="D122" s="15">
        <v>2037.4223999999999</v>
      </c>
      <c r="E122" s="15">
        <v>89</v>
      </c>
      <c r="F122" s="15">
        <v>0</v>
      </c>
      <c r="G122" s="15"/>
      <c r="H122" s="16">
        <v>1669.8523999999998</v>
      </c>
      <c r="I122" s="15">
        <v>1008.1476000000002</v>
      </c>
      <c r="J122" s="15">
        <v>288.04217142857146</v>
      </c>
      <c r="K122" s="17">
        <v>60.373455761718844</v>
      </c>
      <c r="L122">
        <v>6679.4096000000009</v>
      </c>
    </row>
    <row r="123" spans="1:12" x14ac:dyDescent="0.3">
      <c r="A123" s="13">
        <v>7275111</v>
      </c>
      <c r="B123" s="14" t="s">
        <v>279</v>
      </c>
      <c r="C123" s="15">
        <v>4707</v>
      </c>
      <c r="D123" s="15">
        <v>3096.2646000000004</v>
      </c>
      <c r="E123" s="15">
        <v>96</v>
      </c>
      <c r="F123" s="15">
        <v>0</v>
      </c>
      <c r="G123" s="15"/>
      <c r="H123" s="16">
        <v>2699.7846000000004</v>
      </c>
      <c r="I123" s="15">
        <v>2007.2153999999996</v>
      </c>
      <c r="J123" s="15">
        <v>573.49011428571418</v>
      </c>
      <c r="K123" s="17">
        <v>74.347242368891173</v>
      </c>
      <c r="L123">
        <v>10799.138400000002</v>
      </c>
    </row>
    <row r="124" spans="1:12" x14ac:dyDescent="0.3">
      <c r="A124" s="13">
        <v>7275185</v>
      </c>
      <c r="B124" s="14" t="s">
        <v>278</v>
      </c>
      <c r="C124" s="15">
        <v>1345</v>
      </c>
      <c r="D124" s="15">
        <v>884.87549999999999</v>
      </c>
      <c r="E124" s="15">
        <v>96</v>
      </c>
      <c r="F124" s="15">
        <v>0</v>
      </c>
      <c r="G124" s="15"/>
      <c r="H124" s="16">
        <v>771.59550000000002</v>
      </c>
      <c r="I124" s="15">
        <v>573.40449999999998</v>
      </c>
      <c r="J124" s="15">
        <v>573.40449999999998</v>
      </c>
      <c r="K124" s="17">
        <v>74.314132210465203</v>
      </c>
      <c r="L124">
        <v>7715.9550000000045</v>
      </c>
    </row>
    <row r="125" spans="1:12" x14ac:dyDescent="0.3">
      <c r="A125" s="13">
        <v>7275220</v>
      </c>
      <c r="B125" s="14" t="s">
        <v>280</v>
      </c>
      <c r="C125" s="15">
        <v>5379</v>
      </c>
      <c r="D125" s="15">
        <v>3538.8441000000003</v>
      </c>
      <c r="E125" s="15">
        <v>96</v>
      </c>
      <c r="F125" s="15">
        <v>0</v>
      </c>
      <c r="G125" s="15"/>
      <c r="H125" s="16">
        <v>3085.7241000000004</v>
      </c>
      <c r="I125" s="15">
        <v>2293.2758999999996</v>
      </c>
      <c r="J125" s="15">
        <v>573.31897499999991</v>
      </c>
      <c r="K125" s="17">
        <v>74.31889001353035</v>
      </c>
      <c r="L125">
        <v>12342.896400000001</v>
      </c>
    </row>
    <row r="126" spans="1:12" x14ac:dyDescent="0.3">
      <c r="A126" s="13">
        <v>7330242</v>
      </c>
      <c r="B126" s="14" t="s">
        <v>349</v>
      </c>
      <c r="C126" s="15">
        <v>1040</v>
      </c>
      <c r="D126" s="15">
        <v>904.90400000000011</v>
      </c>
      <c r="E126" s="15">
        <v>0</v>
      </c>
      <c r="F126" s="15">
        <v>0</v>
      </c>
      <c r="G126" s="15"/>
      <c r="H126" s="16">
        <v>904.90400000000011</v>
      </c>
      <c r="I126" s="15">
        <v>135.09599999999989</v>
      </c>
      <c r="J126" s="15">
        <v>13.509599999999992</v>
      </c>
      <c r="K126" s="17">
        <v>14.929318469141464</v>
      </c>
      <c r="L126">
        <v>904.90400000000056</v>
      </c>
    </row>
    <row r="127" spans="1:12" x14ac:dyDescent="0.3">
      <c r="A127" s="13">
        <v>7330265</v>
      </c>
      <c r="B127" s="14" t="s">
        <v>350</v>
      </c>
      <c r="C127" s="15">
        <v>1980</v>
      </c>
      <c r="D127" s="15">
        <v>1727.55</v>
      </c>
      <c r="E127" s="15">
        <v>0</v>
      </c>
      <c r="F127" s="15">
        <v>0</v>
      </c>
      <c r="G127" s="15"/>
      <c r="H127" s="16">
        <v>1727.55</v>
      </c>
      <c r="I127" s="15">
        <v>252.45000000000005</v>
      </c>
      <c r="J127" s="15">
        <v>12.622500000000002</v>
      </c>
      <c r="K127" s="17">
        <v>14.613180515759316</v>
      </c>
      <c r="L127">
        <v>1727.5500000000011</v>
      </c>
    </row>
    <row r="128" spans="1:12" x14ac:dyDescent="0.3">
      <c r="A128" s="13">
        <v>7364184</v>
      </c>
      <c r="B128" s="14" t="s">
        <v>353</v>
      </c>
      <c r="C128" s="15">
        <v>295</v>
      </c>
      <c r="D128" s="15">
        <v>219.6275</v>
      </c>
      <c r="E128" s="15">
        <v>0</v>
      </c>
      <c r="F128" s="15">
        <v>0</v>
      </c>
      <c r="G128" s="15"/>
      <c r="H128" s="16">
        <v>219.6275</v>
      </c>
      <c r="I128" s="15">
        <v>75.372500000000002</v>
      </c>
      <c r="J128" s="15">
        <v>75.372500000000002</v>
      </c>
      <c r="K128" s="17">
        <v>34.318334452652785</v>
      </c>
      <c r="L128">
        <v>4392.5500000000029</v>
      </c>
    </row>
    <row r="129" spans="1:12" x14ac:dyDescent="0.3">
      <c r="A129" s="13">
        <v>7364203</v>
      </c>
      <c r="B129" s="14" t="s">
        <v>354</v>
      </c>
      <c r="C129" s="15">
        <v>945</v>
      </c>
      <c r="D129" s="15">
        <v>658.94850000000008</v>
      </c>
      <c r="E129" s="15">
        <v>0</v>
      </c>
      <c r="F129" s="15">
        <v>0</v>
      </c>
      <c r="G129" s="15"/>
      <c r="H129" s="16">
        <v>658.94850000000008</v>
      </c>
      <c r="I129" s="15">
        <v>286.05149999999992</v>
      </c>
      <c r="J129" s="15">
        <v>95.350499999999982</v>
      </c>
      <c r="K129" s="17">
        <v>43.410296859314478</v>
      </c>
      <c r="L129">
        <v>2635.7940000000017</v>
      </c>
    </row>
    <row r="130" spans="1:12" x14ac:dyDescent="0.3">
      <c r="A130" s="13">
        <v>7364234</v>
      </c>
      <c r="B130" s="14" t="s">
        <v>355</v>
      </c>
      <c r="C130" s="15">
        <v>1575</v>
      </c>
      <c r="D130" s="15">
        <v>1098.2474999999999</v>
      </c>
      <c r="E130" s="15">
        <v>0</v>
      </c>
      <c r="F130" s="15">
        <v>0</v>
      </c>
      <c r="G130" s="15"/>
      <c r="H130" s="16">
        <v>1098.2474999999999</v>
      </c>
      <c r="I130" s="15">
        <v>476.75250000000005</v>
      </c>
      <c r="J130" s="15">
        <v>95.350500000000011</v>
      </c>
      <c r="K130" s="17">
        <v>43.410296859314506</v>
      </c>
      <c r="L130">
        <v>4392.9900000000025</v>
      </c>
    </row>
    <row r="131" spans="1:12" x14ac:dyDescent="0.3">
      <c r="A131" s="13">
        <v>7364242</v>
      </c>
      <c r="B131" s="14" t="s">
        <v>356</v>
      </c>
      <c r="C131" s="15">
        <v>3200</v>
      </c>
      <c r="D131" s="15">
        <v>2196.48</v>
      </c>
      <c r="E131" s="15">
        <v>0</v>
      </c>
      <c r="F131" s="15">
        <v>0</v>
      </c>
      <c r="G131" s="15"/>
      <c r="H131" s="16">
        <v>2196.48</v>
      </c>
      <c r="I131" s="15">
        <v>1003.52</v>
      </c>
      <c r="J131" s="15">
        <v>100.352</v>
      </c>
      <c r="K131" s="17">
        <v>45.687645687645684</v>
      </c>
      <c r="L131">
        <v>2196.4800000000009</v>
      </c>
    </row>
    <row r="132" spans="1:12" x14ac:dyDescent="0.3">
      <c r="A132" s="13">
        <v>7364251</v>
      </c>
      <c r="B132" s="14" t="s">
        <v>357</v>
      </c>
      <c r="C132" s="15">
        <v>2363</v>
      </c>
      <c r="D132" s="15">
        <v>1647.2472999999998</v>
      </c>
      <c r="E132" s="15">
        <v>0</v>
      </c>
      <c r="F132" s="15">
        <v>0</v>
      </c>
      <c r="G132" s="15"/>
      <c r="H132" s="16">
        <v>1647.2472999999998</v>
      </c>
      <c r="I132" s="15">
        <v>715.75270000000023</v>
      </c>
      <c r="J132" s="15">
        <v>95.433693333333366</v>
      </c>
      <c r="K132" s="17">
        <v>43.451441686988971</v>
      </c>
      <c r="L132">
        <v>1647.2473000000009</v>
      </c>
    </row>
    <row r="133" spans="1:12" x14ac:dyDescent="0.3">
      <c r="A133" s="13">
        <v>7364256</v>
      </c>
      <c r="B133" s="14" t="s">
        <v>358</v>
      </c>
      <c r="C133" s="15">
        <v>4800</v>
      </c>
      <c r="D133" s="15">
        <v>3294.72</v>
      </c>
      <c r="E133" s="15">
        <v>0</v>
      </c>
      <c r="F133" s="15">
        <v>0</v>
      </c>
      <c r="G133" s="15"/>
      <c r="H133" s="16">
        <v>3294.7200000000003</v>
      </c>
      <c r="I133" s="15">
        <v>1505.2799999999997</v>
      </c>
      <c r="J133" s="15">
        <v>100.35199999999998</v>
      </c>
      <c r="K133" s="17">
        <v>45.687645687645677</v>
      </c>
      <c r="L133">
        <v>3294.7200000000025</v>
      </c>
    </row>
    <row r="134" spans="1:12" x14ac:dyDescent="0.3">
      <c r="A134" s="13">
        <v>7364265</v>
      </c>
      <c r="B134" s="14" t="s">
        <v>359</v>
      </c>
      <c r="C134" s="15">
        <v>6400</v>
      </c>
      <c r="D134" s="15">
        <v>4392.96</v>
      </c>
      <c r="E134" s="15">
        <v>0</v>
      </c>
      <c r="F134" s="15">
        <v>0</v>
      </c>
      <c r="G134" s="15"/>
      <c r="H134" s="16">
        <v>4392.96</v>
      </c>
      <c r="I134" s="15">
        <v>2007.04</v>
      </c>
      <c r="J134" s="15">
        <v>100.352</v>
      </c>
      <c r="K134" s="17">
        <v>45.687645687645684</v>
      </c>
      <c r="L134">
        <v>4392.9600000000028</v>
      </c>
    </row>
    <row r="135" spans="1:12" x14ac:dyDescent="0.3">
      <c r="A135" s="13">
        <v>7370184</v>
      </c>
      <c r="B135" s="14" t="s">
        <v>360</v>
      </c>
      <c r="C135" s="15">
        <v>345</v>
      </c>
      <c r="D135" s="15">
        <v>236.11799999999999</v>
      </c>
      <c r="E135" s="15">
        <v>0</v>
      </c>
      <c r="F135" s="15">
        <v>0</v>
      </c>
      <c r="G135" s="15"/>
      <c r="H135" s="16">
        <v>236.11799999999999</v>
      </c>
      <c r="I135" s="15">
        <v>108.88200000000001</v>
      </c>
      <c r="J135" s="15">
        <v>108.88200000000001</v>
      </c>
      <c r="K135" s="17">
        <v>46.113383985973115</v>
      </c>
      <c r="L135">
        <v>4722.3600000000033</v>
      </c>
    </row>
    <row r="136" spans="1:12" x14ac:dyDescent="0.3">
      <c r="A136" s="13">
        <v>7370234</v>
      </c>
      <c r="B136" s="14" t="s">
        <v>361</v>
      </c>
      <c r="C136" s="15">
        <v>1750</v>
      </c>
      <c r="D136" s="15">
        <v>1180.55</v>
      </c>
      <c r="E136" s="15">
        <v>0</v>
      </c>
      <c r="F136" s="15">
        <v>0</v>
      </c>
      <c r="G136" s="15"/>
      <c r="H136" s="16">
        <v>1180.55</v>
      </c>
      <c r="I136" s="15">
        <v>569.45000000000005</v>
      </c>
      <c r="J136" s="15">
        <v>113.89000000000001</v>
      </c>
      <c r="K136" s="17">
        <v>48.235991698784467</v>
      </c>
      <c r="L136">
        <v>4722.2000000000025</v>
      </c>
    </row>
    <row r="137" spans="1:12" x14ac:dyDescent="0.3">
      <c r="A137" s="13">
        <v>7370242</v>
      </c>
      <c r="B137" s="14" t="s">
        <v>362</v>
      </c>
      <c r="C137" s="15">
        <v>3550</v>
      </c>
      <c r="D137" s="15">
        <v>2361.1050000000005</v>
      </c>
      <c r="E137" s="15">
        <v>0</v>
      </c>
      <c r="F137" s="15">
        <v>0</v>
      </c>
      <c r="G137" s="15"/>
      <c r="H137" s="16">
        <v>2361.1050000000005</v>
      </c>
      <c r="I137" s="15">
        <v>1188.8949999999995</v>
      </c>
      <c r="J137" s="15">
        <v>118.88949999999994</v>
      </c>
      <c r="K137" s="17">
        <v>50.3533303262667</v>
      </c>
      <c r="L137">
        <v>2361.1050000000014</v>
      </c>
    </row>
    <row r="138" spans="1:12" x14ac:dyDescent="0.3">
      <c r="A138" s="13">
        <v>7370251</v>
      </c>
      <c r="B138" s="14" t="s">
        <v>363</v>
      </c>
      <c r="C138" s="15">
        <v>2663</v>
      </c>
      <c r="D138" s="15">
        <v>1770.895</v>
      </c>
      <c r="E138" s="15">
        <v>0</v>
      </c>
      <c r="F138" s="15">
        <v>0</v>
      </c>
      <c r="G138" s="15"/>
      <c r="H138" s="16">
        <v>1770.895</v>
      </c>
      <c r="I138" s="15">
        <v>892.10500000000002</v>
      </c>
      <c r="J138" s="15">
        <v>118.94733333333332</v>
      </c>
      <c r="K138" s="17">
        <v>50.375939849624061</v>
      </c>
      <c r="L138">
        <v>1770.8950000000011</v>
      </c>
    </row>
    <row r="139" spans="1:12" x14ac:dyDescent="0.3">
      <c r="A139" s="13">
        <v>7370256</v>
      </c>
      <c r="B139" s="14" t="s">
        <v>364</v>
      </c>
      <c r="C139" s="15">
        <v>5325</v>
      </c>
      <c r="D139" s="15">
        <v>3541.6574999999998</v>
      </c>
      <c r="E139" s="15">
        <v>0</v>
      </c>
      <c r="F139" s="15">
        <v>0</v>
      </c>
      <c r="G139" s="15"/>
      <c r="H139" s="16">
        <v>3541.6574999999993</v>
      </c>
      <c r="I139" s="15">
        <v>1783.3425000000007</v>
      </c>
      <c r="J139" s="15">
        <v>118.88950000000006</v>
      </c>
      <c r="K139" s="17">
        <v>50.353330326266757</v>
      </c>
      <c r="L139">
        <v>3541.6575000000016</v>
      </c>
    </row>
    <row r="140" spans="1:12" x14ac:dyDescent="0.3">
      <c r="A140" s="13">
        <v>7376184</v>
      </c>
      <c r="B140" s="14" t="s">
        <v>365</v>
      </c>
      <c r="C140" s="15">
        <v>285</v>
      </c>
      <c r="D140" s="15">
        <v>196.3365</v>
      </c>
      <c r="E140" s="15">
        <v>0</v>
      </c>
      <c r="F140" s="15">
        <v>0</v>
      </c>
      <c r="G140" s="15"/>
      <c r="H140" s="16">
        <v>196.3365</v>
      </c>
      <c r="I140" s="15">
        <v>88.663499999999999</v>
      </c>
      <c r="J140" s="15">
        <v>88.663499999999999</v>
      </c>
      <c r="K140" s="17">
        <v>45.158949049208886</v>
      </c>
      <c r="L140">
        <v>3926.7300000000027</v>
      </c>
    </row>
    <row r="141" spans="1:12" x14ac:dyDescent="0.3">
      <c r="A141" s="13">
        <v>7376251</v>
      </c>
      <c r="B141" s="14" t="s">
        <v>366</v>
      </c>
      <c r="C141" s="15">
        <v>2213</v>
      </c>
      <c r="D141" s="15">
        <v>1477.3987999999999</v>
      </c>
      <c r="E141" s="15">
        <v>0</v>
      </c>
      <c r="F141" s="15">
        <v>0</v>
      </c>
      <c r="G141" s="15"/>
      <c r="H141" s="16">
        <v>1477.3987999999999</v>
      </c>
      <c r="I141" s="15">
        <v>735.60120000000006</v>
      </c>
      <c r="J141" s="15">
        <v>98.080160000000006</v>
      </c>
      <c r="K141" s="17">
        <v>49.790293588975445</v>
      </c>
      <c r="L141">
        <v>1477.3988000000008</v>
      </c>
    </row>
    <row r="142" spans="1:12" x14ac:dyDescent="0.3">
      <c r="A142" s="13">
        <v>7403265</v>
      </c>
      <c r="B142" s="14" t="s">
        <v>341</v>
      </c>
      <c r="C142" s="15">
        <v>4929</v>
      </c>
      <c r="D142" s="15">
        <v>4675.1565000000001</v>
      </c>
      <c r="E142" s="15">
        <v>0</v>
      </c>
      <c r="F142" s="15">
        <v>0</v>
      </c>
      <c r="G142" s="15"/>
      <c r="H142" s="16">
        <v>4675.1565000000001</v>
      </c>
      <c r="I142" s="15">
        <v>253.84349999999995</v>
      </c>
      <c r="J142" s="15">
        <v>12.692174999999992</v>
      </c>
      <c r="K142" s="17">
        <v>5.4296257248286759</v>
      </c>
      <c r="L142">
        <v>4675.1565000000028</v>
      </c>
    </row>
    <row r="143" spans="1:12" x14ac:dyDescent="0.3">
      <c r="A143" s="13">
        <v>7420213</v>
      </c>
      <c r="B143" s="14" t="s">
        <v>117</v>
      </c>
      <c r="C143" s="15">
        <v>1575</v>
      </c>
      <c r="D143" s="15">
        <v>1284.4124999999999</v>
      </c>
      <c r="E143" s="15">
        <v>0</v>
      </c>
      <c r="F143" s="15">
        <v>0</v>
      </c>
      <c r="G143" s="15"/>
      <c r="H143" s="16">
        <v>1284.4124999999999</v>
      </c>
      <c r="I143" s="15">
        <v>290.58750000000009</v>
      </c>
      <c r="J143" s="15">
        <v>83.025000000000034</v>
      </c>
      <c r="K143" s="17">
        <v>22.624156958920917</v>
      </c>
      <c r="L143">
        <v>5137.6500000000005</v>
      </c>
    </row>
    <row r="144" spans="1:12" x14ac:dyDescent="0.3">
      <c r="A144" s="13">
        <v>7420222</v>
      </c>
      <c r="B144" s="14" t="s">
        <v>118</v>
      </c>
      <c r="C144" s="15">
        <v>1800</v>
      </c>
      <c r="D144" s="15">
        <v>1468.08</v>
      </c>
      <c r="E144" s="15">
        <v>0</v>
      </c>
      <c r="F144" s="15">
        <v>0</v>
      </c>
      <c r="G144" s="15"/>
      <c r="H144" s="16">
        <v>1468.08</v>
      </c>
      <c r="I144" s="15">
        <v>331.92000000000007</v>
      </c>
      <c r="J144" s="15">
        <v>82.980000000000018</v>
      </c>
      <c r="K144" s="17">
        <v>22.609122118685637</v>
      </c>
      <c r="L144">
        <v>5872.3200000000033</v>
      </c>
    </row>
    <row r="145" spans="1:12" x14ac:dyDescent="0.3">
      <c r="A145" s="13">
        <v>7421234</v>
      </c>
      <c r="B145" s="14" t="s">
        <v>119</v>
      </c>
      <c r="C145" s="15">
        <v>2400</v>
      </c>
      <c r="D145" s="15">
        <v>1974.9600000000003</v>
      </c>
      <c r="E145" s="15">
        <v>0</v>
      </c>
      <c r="F145" s="15">
        <v>0</v>
      </c>
      <c r="G145" s="15"/>
      <c r="H145" s="16">
        <v>1974.9600000000003</v>
      </c>
      <c r="I145" s="15">
        <v>425.03999999999974</v>
      </c>
      <c r="J145" s="15">
        <v>85.007999999999925</v>
      </c>
      <c r="K145" s="17">
        <v>21.521448535666529</v>
      </c>
      <c r="L145">
        <v>7899.8400000000065</v>
      </c>
    </row>
    <row r="146" spans="1:12" x14ac:dyDescent="0.3">
      <c r="A146" s="13">
        <v>7427213</v>
      </c>
      <c r="B146" s="14" t="s">
        <v>103</v>
      </c>
      <c r="C146" s="15">
        <v>1614</v>
      </c>
      <c r="D146" s="15">
        <v>1415.8008</v>
      </c>
      <c r="E146" s="15">
        <v>29</v>
      </c>
      <c r="F146" s="15">
        <v>0</v>
      </c>
      <c r="G146" s="15"/>
      <c r="H146" s="16">
        <v>1296.0308</v>
      </c>
      <c r="I146" s="15">
        <v>317.9692</v>
      </c>
      <c r="J146" s="15">
        <v>90.848342857142882</v>
      </c>
      <c r="K146" s="17">
        <v>24.534077430875872</v>
      </c>
      <c r="L146">
        <v>5184.1232000000009</v>
      </c>
    </row>
    <row r="147" spans="1:12" x14ac:dyDescent="0.3">
      <c r="A147" s="13">
        <v>7428213</v>
      </c>
      <c r="B147" s="14" t="s">
        <v>104</v>
      </c>
      <c r="C147" s="15">
        <v>2167</v>
      </c>
      <c r="D147" s="15">
        <v>1749.6357999999998</v>
      </c>
      <c r="E147" s="15">
        <v>19</v>
      </c>
      <c r="F147" s="15">
        <v>0</v>
      </c>
      <c r="G147" s="15"/>
      <c r="H147" s="16">
        <v>1671.1657999999998</v>
      </c>
      <c r="I147" s="15">
        <v>495.83420000000024</v>
      </c>
      <c r="J147" s="15">
        <v>141.66691428571431</v>
      </c>
      <c r="K147" s="17">
        <v>29.669958540319598</v>
      </c>
      <c r="L147">
        <v>6684.6632000000009</v>
      </c>
    </row>
    <row r="148" spans="1:12" x14ac:dyDescent="0.3">
      <c r="A148" s="13">
        <v>7429184</v>
      </c>
      <c r="B148" s="14" t="s">
        <v>145</v>
      </c>
      <c r="C148" s="15">
        <v>460</v>
      </c>
      <c r="D148" s="15">
        <v>322.55200000000002</v>
      </c>
      <c r="E148" s="15">
        <v>9</v>
      </c>
      <c r="F148" s="15">
        <v>0</v>
      </c>
      <c r="G148" s="15"/>
      <c r="H148" s="16">
        <v>311.93200000000002</v>
      </c>
      <c r="I148" s="15">
        <v>148.06799999999998</v>
      </c>
      <c r="J148" s="15">
        <v>148.06799999999998</v>
      </c>
      <c r="K148" s="17">
        <v>47.468037905697386</v>
      </c>
      <c r="L148">
        <v>6238.6400000000049</v>
      </c>
    </row>
    <row r="149" spans="1:12" x14ac:dyDescent="0.3">
      <c r="A149" s="13">
        <v>7429240</v>
      </c>
      <c r="B149" s="14" t="s">
        <v>146</v>
      </c>
      <c r="C149" s="15">
        <v>2300</v>
      </c>
      <c r="D149" s="15">
        <v>1610.69</v>
      </c>
      <c r="E149" s="15">
        <v>9</v>
      </c>
      <c r="F149" s="15">
        <v>0</v>
      </c>
      <c r="G149" s="15"/>
      <c r="H149" s="16">
        <v>1557.5900000000001</v>
      </c>
      <c r="I149" s="15">
        <v>742.40999999999985</v>
      </c>
      <c r="J149" s="15">
        <v>148.48199999999997</v>
      </c>
      <c r="K149" s="17">
        <v>47.664019414608447</v>
      </c>
      <c r="L149">
        <v>6230.3600000000006</v>
      </c>
    </row>
    <row r="150" spans="1:12" x14ac:dyDescent="0.3">
      <c r="A150" s="13">
        <v>7429244</v>
      </c>
      <c r="B150" s="14" t="s">
        <v>147</v>
      </c>
      <c r="C150" s="15">
        <v>2560</v>
      </c>
      <c r="D150" s="15">
        <v>1853.184</v>
      </c>
      <c r="E150" s="15">
        <v>9</v>
      </c>
      <c r="F150" s="15">
        <v>0</v>
      </c>
      <c r="G150" s="15"/>
      <c r="H150" s="16">
        <v>1789.4639999999999</v>
      </c>
      <c r="I150" s="15">
        <v>770.53600000000006</v>
      </c>
      <c r="J150" s="15">
        <v>128.42266666666671</v>
      </c>
      <c r="K150" s="17">
        <v>43.059597734293625</v>
      </c>
      <c r="L150">
        <v>7157.8559999999998</v>
      </c>
    </row>
    <row r="151" spans="1:12" x14ac:dyDescent="0.3">
      <c r="A151" s="13">
        <v>7429297</v>
      </c>
      <c r="B151" s="14" t="s">
        <v>148</v>
      </c>
      <c r="C151" s="15">
        <v>3120</v>
      </c>
      <c r="D151" s="15">
        <v>2230.8000000000002</v>
      </c>
      <c r="E151" s="15">
        <v>11</v>
      </c>
      <c r="F151" s="15">
        <v>0</v>
      </c>
      <c r="G151" s="15"/>
      <c r="H151" s="16">
        <v>2139.94</v>
      </c>
      <c r="I151" s="15">
        <v>980.06</v>
      </c>
      <c r="J151" s="15">
        <v>140.00857142857143</v>
      </c>
      <c r="K151" s="17">
        <v>45.798480331224233</v>
      </c>
      <c r="L151">
        <v>2139.94</v>
      </c>
    </row>
    <row r="152" spans="1:12" x14ac:dyDescent="0.3">
      <c r="A152" s="13">
        <v>7430184</v>
      </c>
      <c r="B152" s="14" t="s">
        <v>149</v>
      </c>
      <c r="C152" s="15">
        <v>485</v>
      </c>
      <c r="D152" s="15">
        <v>347.745</v>
      </c>
      <c r="E152" s="15">
        <v>19</v>
      </c>
      <c r="F152" s="15">
        <v>0</v>
      </c>
      <c r="G152" s="15"/>
      <c r="H152" s="16">
        <v>325.32500000000005</v>
      </c>
      <c r="I152" s="15">
        <v>159.67499999999995</v>
      </c>
      <c r="J152" s="15">
        <v>159.67499999999995</v>
      </c>
      <c r="K152" s="17">
        <v>49.081687543225982</v>
      </c>
      <c r="L152">
        <v>6506.5000000000055</v>
      </c>
    </row>
    <row r="153" spans="1:12" x14ac:dyDescent="0.3">
      <c r="A153" s="13">
        <v>7430234</v>
      </c>
      <c r="B153" s="14" t="s">
        <v>150</v>
      </c>
      <c r="C153" s="15">
        <v>2400</v>
      </c>
      <c r="D153" s="15">
        <v>1728.72</v>
      </c>
      <c r="E153" s="15">
        <v>24</v>
      </c>
      <c r="F153" s="15">
        <v>0</v>
      </c>
      <c r="G153" s="15"/>
      <c r="H153" s="16">
        <v>1587.1200000000001</v>
      </c>
      <c r="I153" s="15">
        <v>812.87999999999988</v>
      </c>
      <c r="J153" s="15">
        <v>162.57599999999996</v>
      </c>
      <c r="K153" s="17">
        <v>51.217299259035222</v>
      </c>
      <c r="L153">
        <v>6348.480000000005</v>
      </c>
    </row>
    <row r="154" spans="1:12" x14ac:dyDescent="0.3">
      <c r="A154" s="13">
        <v>7430240</v>
      </c>
      <c r="B154" s="14" t="s">
        <v>151</v>
      </c>
      <c r="C154" s="15">
        <v>2400</v>
      </c>
      <c r="D154" s="15">
        <v>1728.72</v>
      </c>
      <c r="E154" s="15">
        <v>24</v>
      </c>
      <c r="F154" s="15">
        <v>0</v>
      </c>
      <c r="G154" s="15"/>
      <c r="H154" s="16">
        <v>1587.1200000000001</v>
      </c>
      <c r="I154" s="15">
        <v>812.87999999999988</v>
      </c>
      <c r="J154" s="15">
        <v>162.57599999999996</v>
      </c>
      <c r="K154" s="17">
        <v>51.217299259035222</v>
      </c>
      <c r="L154">
        <v>6348.4800000000005</v>
      </c>
    </row>
    <row r="155" spans="1:12" x14ac:dyDescent="0.3">
      <c r="A155" s="13">
        <v>7430296</v>
      </c>
      <c r="B155" s="14" t="s">
        <v>152</v>
      </c>
      <c r="C155" s="15">
        <v>3320</v>
      </c>
      <c r="D155" s="15">
        <v>2382.1</v>
      </c>
      <c r="E155" s="15">
        <v>29</v>
      </c>
      <c r="F155" s="15">
        <v>0</v>
      </c>
      <c r="G155" s="15"/>
      <c r="H155" s="16">
        <v>2142.56</v>
      </c>
      <c r="I155" s="15">
        <v>1177.44</v>
      </c>
      <c r="J155" s="15">
        <v>168.20571428571429</v>
      </c>
      <c r="K155" s="17">
        <v>54.954820401762383</v>
      </c>
      <c r="L155">
        <v>2142.56</v>
      </c>
    </row>
    <row r="156" spans="1:12" x14ac:dyDescent="0.3">
      <c r="A156" s="13">
        <v>7430297</v>
      </c>
      <c r="B156" s="14" t="s">
        <v>153</v>
      </c>
      <c r="C156" s="15">
        <v>3320</v>
      </c>
      <c r="D156" s="15">
        <v>2382.1</v>
      </c>
      <c r="E156" s="15">
        <v>29</v>
      </c>
      <c r="F156" s="15">
        <v>0</v>
      </c>
      <c r="G156" s="15"/>
      <c r="H156" s="16">
        <v>2142.56</v>
      </c>
      <c r="I156" s="15">
        <v>1177.44</v>
      </c>
      <c r="J156" s="15">
        <v>168.20571428571429</v>
      </c>
      <c r="K156" s="17">
        <v>54.954820401762383</v>
      </c>
      <c r="L156">
        <v>2142.56</v>
      </c>
    </row>
    <row r="157" spans="1:12" x14ac:dyDescent="0.3">
      <c r="A157" s="13">
        <v>7434256</v>
      </c>
      <c r="B157" s="14" t="s">
        <v>154</v>
      </c>
      <c r="C157" s="15">
        <v>6850</v>
      </c>
      <c r="D157" s="15">
        <v>5229.9749999999995</v>
      </c>
      <c r="E157" s="15">
        <v>39</v>
      </c>
      <c r="F157" s="15">
        <v>0</v>
      </c>
      <c r="G157" s="15"/>
      <c r="H157" s="16">
        <v>4539.6750000000002</v>
      </c>
      <c r="I157" s="15">
        <v>2310.3249999999998</v>
      </c>
      <c r="J157" s="15">
        <v>154.02166666666665</v>
      </c>
      <c r="K157" s="17">
        <v>50.891858998716863</v>
      </c>
      <c r="L157">
        <v>4539.6750000000029</v>
      </c>
    </row>
    <row r="158" spans="1:12" x14ac:dyDescent="0.3">
      <c r="A158" s="13">
        <v>7436184</v>
      </c>
      <c r="B158" s="14" t="s">
        <v>155</v>
      </c>
      <c r="C158" s="15">
        <v>470</v>
      </c>
      <c r="D158" s="15">
        <v>359.26799999999997</v>
      </c>
      <c r="E158" s="15">
        <v>36</v>
      </c>
      <c r="F158" s="15">
        <v>0</v>
      </c>
      <c r="G158" s="15"/>
      <c r="H158" s="16">
        <v>316.78800000000001</v>
      </c>
      <c r="I158" s="15">
        <v>153.21199999999999</v>
      </c>
      <c r="J158" s="15">
        <v>153.21199999999999</v>
      </c>
      <c r="K158" s="17">
        <v>48.364205714862926</v>
      </c>
      <c r="L158">
        <v>6335.7600000000048</v>
      </c>
    </row>
    <row r="159" spans="1:12" x14ac:dyDescent="0.3">
      <c r="A159" s="13">
        <v>7436229</v>
      </c>
      <c r="B159" s="14" t="s">
        <v>156</v>
      </c>
      <c r="C159" s="15">
        <v>470</v>
      </c>
      <c r="D159" s="15">
        <v>359.26799999999997</v>
      </c>
      <c r="E159" s="15">
        <v>28</v>
      </c>
      <c r="F159" s="15">
        <v>0</v>
      </c>
      <c r="G159" s="15"/>
      <c r="H159" s="16">
        <v>326.22800000000001</v>
      </c>
      <c r="I159" s="15">
        <v>143.77199999999999</v>
      </c>
      <c r="J159" s="15">
        <v>143.77199999999999</v>
      </c>
      <c r="K159" s="17">
        <v>44.071017815760754</v>
      </c>
      <c r="L159">
        <v>6524.56</v>
      </c>
    </row>
    <row r="160" spans="1:12" x14ac:dyDescent="0.3">
      <c r="A160" s="13">
        <v>7436250</v>
      </c>
      <c r="B160" s="14" t="s">
        <v>157</v>
      </c>
      <c r="C160" s="15">
        <v>3451</v>
      </c>
      <c r="D160" s="15">
        <v>2646.2268000000004</v>
      </c>
      <c r="E160" s="15">
        <v>39</v>
      </c>
      <c r="F160" s="15">
        <v>0</v>
      </c>
      <c r="G160" s="15"/>
      <c r="H160" s="16">
        <v>2301.0768000000003</v>
      </c>
      <c r="I160" s="15">
        <v>1149.9231999999997</v>
      </c>
      <c r="J160" s="15">
        <v>153.3230933333333</v>
      </c>
      <c r="K160" s="17">
        <v>49.973264690687401</v>
      </c>
      <c r="L160">
        <v>2301.0768000000003</v>
      </c>
    </row>
    <row r="161" spans="1:12" x14ac:dyDescent="0.3">
      <c r="A161" s="13">
        <v>7436253</v>
      </c>
      <c r="B161" s="14" t="s">
        <v>158</v>
      </c>
      <c r="C161" s="15">
        <v>6850</v>
      </c>
      <c r="D161" s="15">
        <v>5229.9749999999995</v>
      </c>
      <c r="E161" s="15">
        <v>39</v>
      </c>
      <c r="F161" s="15">
        <v>0</v>
      </c>
      <c r="G161" s="15"/>
      <c r="H161" s="16">
        <v>4539.6750000000002</v>
      </c>
      <c r="I161" s="15">
        <v>2310.3249999999998</v>
      </c>
      <c r="J161" s="15">
        <v>154.02166666666665</v>
      </c>
      <c r="K161" s="17">
        <v>50.891858998716863</v>
      </c>
      <c r="L161">
        <v>4539.6750000000002</v>
      </c>
    </row>
    <row r="162" spans="1:12" x14ac:dyDescent="0.3">
      <c r="A162" s="13">
        <v>7470184</v>
      </c>
      <c r="B162" s="14" t="s">
        <v>159</v>
      </c>
      <c r="C162" s="15">
        <v>380</v>
      </c>
      <c r="D162" s="15">
        <v>292.41000000000003</v>
      </c>
      <c r="E162" s="15">
        <v>4</v>
      </c>
      <c r="F162" s="15">
        <v>0</v>
      </c>
      <c r="G162" s="15"/>
      <c r="H162" s="16">
        <v>287.69</v>
      </c>
      <c r="I162" s="15">
        <v>92.31</v>
      </c>
      <c r="J162" s="15">
        <v>92.31</v>
      </c>
      <c r="K162" s="17">
        <v>32.086621015676599</v>
      </c>
      <c r="L162">
        <v>5753.8000000000038</v>
      </c>
    </row>
    <row r="163" spans="1:12" x14ac:dyDescent="0.3">
      <c r="A163" s="13">
        <v>7470251</v>
      </c>
      <c r="B163" s="14" t="s">
        <v>160</v>
      </c>
      <c r="C163" s="15">
        <v>2476</v>
      </c>
      <c r="D163" s="15">
        <v>1968.9151999999999</v>
      </c>
      <c r="E163" s="15">
        <v>9</v>
      </c>
      <c r="F163" s="15">
        <v>0</v>
      </c>
      <c r="G163" s="15"/>
      <c r="H163" s="16">
        <v>1889.2651999999998</v>
      </c>
      <c r="I163" s="15">
        <v>586.73480000000018</v>
      </c>
      <c r="J163" s="15">
        <v>78.231306666666683</v>
      </c>
      <c r="K163" s="17">
        <v>31.056243453804168</v>
      </c>
      <c r="L163">
        <v>1889.2652000000012</v>
      </c>
    </row>
    <row r="164" spans="1:12" x14ac:dyDescent="0.3">
      <c r="A164" s="13">
        <v>7470256</v>
      </c>
      <c r="B164" s="14" t="s">
        <v>161</v>
      </c>
      <c r="C164" s="15">
        <v>4950</v>
      </c>
      <c r="D164" s="15">
        <v>3926.835</v>
      </c>
      <c r="E164" s="15">
        <v>9</v>
      </c>
      <c r="F164" s="15">
        <v>0</v>
      </c>
      <c r="G164" s="15"/>
      <c r="H164" s="16">
        <v>3767.5349999999999</v>
      </c>
      <c r="I164" s="15">
        <v>1182.4650000000001</v>
      </c>
      <c r="J164" s="15">
        <v>78.831000000000017</v>
      </c>
      <c r="K164" s="17">
        <v>31.385640743881616</v>
      </c>
      <c r="L164">
        <v>3767.5350000000026</v>
      </c>
    </row>
    <row r="165" spans="1:12" x14ac:dyDescent="0.3">
      <c r="A165" s="13">
        <v>7472184</v>
      </c>
      <c r="B165" s="14" t="s">
        <v>162</v>
      </c>
      <c r="C165" s="15">
        <v>364</v>
      </c>
      <c r="D165" s="15">
        <v>278.9332</v>
      </c>
      <c r="E165" s="15">
        <v>4</v>
      </c>
      <c r="F165" s="15">
        <v>0</v>
      </c>
      <c r="G165" s="15"/>
      <c r="H165" s="16">
        <v>274.21319999999997</v>
      </c>
      <c r="I165" s="15">
        <v>89.786800000000028</v>
      </c>
      <c r="J165" s="15">
        <v>89.786800000000028</v>
      </c>
      <c r="K165" s="17">
        <v>32.74342737694613</v>
      </c>
      <c r="L165">
        <v>5484.2640000000038</v>
      </c>
    </row>
    <row r="166" spans="1:12" x14ac:dyDescent="0.3">
      <c r="A166" s="13">
        <v>7472203</v>
      </c>
      <c r="B166" s="14" t="s">
        <v>163</v>
      </c>
      <c r="C166" s="15">
        <v>1065</v>
      </c>
      <c r="D166" s="15">
        <v>825.05550000000005</v>
      </c>
      <c r="E166" s="15">
        <v>4</v>
      </c>
      <c r="F166" s="15">
        <v>0</v>
      </c>
      <c r="G166" s="15"/>
      <c r="H166" s="16">
        <v>810.89550000000008</v>
      </c>
      <c r="I166" s="15">
        <v>254.10449999999992</v>
      </c>
      <c r="J166" s="15">
        <v>84.701499999999953</v>
      </c>
      <c r="K166" s="17">
        <v>31.336281925352882</v>
      </c>
      <c r="L166">
        <v>3243.5820000000017</v>
      </c>
    </row>
    <row r="167" spans="1:12" x14ac:dyDescent="0.3">
      <c r="A167" s="13">
        <v>7472234</v>
      </c>
      <c r="B167" s="14" t="s">
        <v>164</v>
      </c>
      <c r="C167" s="15">
        <v>1770</v>
      </c>
      <c r="D167" s="15">
        <v>1367.5020000000002</v>
      </c>
      <c r="E167" s="15">
        <v>4</v>
      </c>
      <c r="F167" s="15">
        <v>0</v>
      </c>
      <c r="G167" s="15"/>
      <c r="H167" s="16">
        <v>1343.9020000000003</v>
      </c>
      <c r="I167" s="15">
        <v>426.09799999999973</v>
      </c>
      <c r="J167" s="15">
        <v>85.219599999999957</v>
      </c>
      <c r="K167" s="17">
        <v>31.706032136271816</v>
      </c>
      <c r="L167">
        <v>5375.6080000000047</v>
      </c>
    </row>
    <row r="168" spans="1:12" x14ac:dyDescent="0.3">
      <c r="A168" s="13">
        <v>7472251</v>
      </c>
      <c r="B168" s="14" t="s">
        <v>165</v>
      </c>
      <c r="C168" s="15">
        <v>2591</v>
      </c>
      <c r="D168" s="15">
        <v>2021.7573000000002</v>
      </c>
      <c r="E168" s="15">
        <v>9</v>
      </c>
      <c r="F168" s="15">
        <v>0</v>
      </c>
      <c r="G168" s="15"/>
      <c r="H168" s="16">
        <v>1942.1073000000004</v>
      </c>
      <c r="I168" s="15">
        <v>648.89269999999965</v>
      </c>
      <c r="J168" s="15">
        <v>86.519026666666605</v>
      </c>
      <c r="K168" s="17">
        <v>33.411784199565062</v>
      </c>
      <c r="L168">
        <v>1942.1073000000017</v>
      </c>
    </row>
    <row r="169" spans="1:12" x14ac:dyDescent="0.3">
      <c r="A169" s="13">
        <v>7472256</v>
      </c>
      <c r="B169" s="14" t="s">
        <v>166</v>
      </c>
      <c r="C169" s="15">
        <v>5150</v>
      </c>
      <c r="D169" s="15">
        <v>4000.0050000000001</v>
      </c>
      <c r="E169" s="15">
        <v>9</v>
      </c>
      <c r="F169" s="15">
        <v>0</v>
      </c>
      <c r="G169" s="15"/>
      <c r="H169" s="16">
        <v>3840.7049999999999</v>
      </c>
      <c r="I169" s="15">
        <v>1309.2950000000001</v>
      </c>
      <c r="J169" s="15">
        <v>87.286333333333346</v>
      </c>
      <c r="K169" s="17">
        <v>34.08996525377502</v>
      </c>
      <c r="L169">
        <v>3840.7050000000027</v>
      </c>
    </row>
    <row r="170" spans="1:12" x14ac:dyDescent="0.3">
      <c r="A170" s="13">
        <v>7477203</v>
      </c>
      <c r="B170" s="14" t="s">
        <v>120</v>
      </c>
      <c r="C170" s="15">
        <v>1260</v>
      </c>
      <c r="D170" s="15">
        <v>1037.106</v>
      </c>
      <c r="E170" s="15">
        <v>0</v>
      </c>
      <c r="F170" s="15">
        <v>0</v>
      </c>
      <c r="G170" s="15"/>
      <c r="H170" s="16">
        <v>1037.106</v>
      </c>
      <c r="I170" s="15">
        <v>222.89400000000001</v>
      </c>
      <c r="J170" s="15">
        <v>74.298000000000002</v>
      </c>
      <c r="K170" s="17">
        <v>21.491920787267645</v>
      </c>
      <c r="L170">
        <v>4148.4240000000018</v>
      </c>
    </row>
    <row r="171" spans="1:12" x14ac:dyDescent="0.3">
      <c r="A171" s="13">
        <v>7481184</v>
      </c>
      <c r="B171" s="14" t="s">
        <v>122</v>
      </c>
      <c r="C171" s="15">
        <v>365</v>
      </c>
      <c r="D171" s="15">
        <v>302.62149999999997</v>
      </c>
      <c r="E171" s="15">
        <v>0</v>
      </c>
      <c r="F171" s="15">
        <v>0</v>
      </c>
      <c r="G171" s="15"/>
      <c r="H171" s="16">
        <v>302.62149999999997</v>
      </c>
      <c r="I171" s="15">
        <v>62.378500000000031</v>
      </c>
      <c r="J171" s="15">
        <v>62.378500000000031</v>
      </c>
      <c r="K171" s="17">
        <v>20.612712579905935</v>
      </c>
      <c r="L171">
        <v>6052.4300000000039</v>
      </c>
    </row>
    <row r="172" spans="1:12" x14ac:dyDescent="0.3">
      <c r="A172" s="13">
        <v>7485174</v>
      </c>
      <c r="B172" s="14" t="s">
        <v>167</v>
      </c>
      <c r="C172" s="15">
        <v>179</v>
      </c>
      <c r="D172" s="15">
        <v>142.37660000000002</v>
      </c>
      <c r="E172" s="15">
        <v>0</v>
      </c>
      <c r="F172" s="15">
        <v>0</v>
      </c>
      <c r="G172" s="15"/>
      <c r="H172" s="16">
        <v>142.37660000000002</v>
      </c>
      <c r="I172" s="15">
        <v>36.623399999999975</v>
      </c>
      <c r="J172" s="15">
        <v>73.246799999999951</v>
      </c>
      <c r="K172" s="17">
        <v>25.722906713603194</v>
      </c>
      <c r="L172">
        <v>5695.0640000000039</v>
      </c>
    </row>
    <row r="173" spans="1:12" x14ac:dyDescent="0.3">
      <c r="A173" s="13">
        <v>7485184</v>
      </c>
      <c r="B173" s="14" t="s">
        <v>168</v>
      </c>
      <c r="C173" s="15">
        <v>347</v>
      </c>
      <c r="D173" s="15">
        <v>278.77980000000002</v>
      </c>
      <c r="E173" s="15">
        <v>4</v>
      </c>
      <c r="F173" s="15">
        <v>0</v>
      </c>
      <c r="G173" s="15"/>
      <c r="H173" s="16">
        <v>274.0598</v>
      </c>
      <c r="I173" s="15">
        <v>72.940200000000004</v>
      </c>
      <c r="J173" s="15">
        <v>72.940200000000004</v>
      </c>
      <c r="K173" s="17">
        <v>26.614702338686669</v>
      </c>
      <c r="L173">
        <v>5481.1960000000036</v>
      </c>
    </row>
    <row r="174" spans="1:12" x14ac:dyDescent="0.3">
      <c r="A174" s="13">
        <v>7485234</v>
      </c>
      <c r="B174" s="14" t="s">
        <v>169</v>
      </c>
      <c r="C174" s="15">
        <v>1730</v>
      </c>
      <c r="D174" s="15">
        <v>1381.405</v>
      </c>
      <c r="E174" s="15">
        <v>19</v>
      </c>
      <c r="F174" s="15">
        <v>0</v>
      </c>
      <c r="G174" s="15"/>
      <c r="H174" s="16">
        <v>1269.3050000000001</v>
      </c>
      <c r="I174" s="15">
        <v>460.69499999999994</v>
      </c>
      <c r="J174" s="15">
        <v>92.138999999999982</v>
      </c>
      <c r="K174" s="17">
        <v>36.295059107149179</v>
      </c>
      <c r="L174">
        <v>5077.2200000000039</v>
      </c>
    </row>
    <row r="175" spans="1:12" x14ac:dyDescent="0.3">
      <c r="A175" s="13">
        <v>7485242</v>
      </c>
      <c r="B175" s="14" t="s">
        <v>170</v>
      </c>
      <c r="C175" s="15">
        <v>3340</v>
      </c>
      <c r="D175" s="15">
        <v>2717.4240000000004</v>
      </c>
      <c r="E175" s="15">
        <v>19</v>
      </c>
      <c r="F175" s="15">
        <v>0</v>
      </c>
      <c r="G175" s="15"/>
      <c r="H175" s="16">
        <v>2493.2240000000002</v>
      </c>
      <c r="I175" s="15">
        <v>846.77599999999984</v>
      </c>
      <c r="J175" s="15">
        <v>84.677599999999984</v>
      </c>
      <c r="K175" s="17">
        <v>33.963093568808887</v>
      </c>
      <c r="L175">
        <v>2493.2240000000011</v>
      </c>
    </row>
    <row r="176" spans="1:12" x14ac:dyDescent="0.3">
      <c r="A176" s="13">
        <v>7485251</v>
      </c>
      <c r="B176" s="14" t="s">
        <v>171</v>
      </c>
      <c r="C176" s="15">
        <v>2514</v>
      </c>
      <c r="D176" s="15">
        <v>2049.9156000000003</v>
      </c>
      <c r="E176" s="15">
        <v>19</v>
      </c>
      <c r="F176" s="15">
        <v>0</v>
      </c>
      <c r="G176" s="15"/>
      <c r="H176" s="16">
        <v>1881.7656000000002</v>
      </c>
      <c r="I176" s="15">
        <v>632.23439999999982</v>
      </c>
      <c r="J176" s="15">
        <v>84.297919999999976</v>
      </c>
      <c r="K176" s="17">
        <v>33.59793589594792</v>
      </c>
      <c r="L176">
        <v>1881.7656000000015</v>
      </c>
    </row>
    <row r="177" spans="1:12" x14ac:dyDescent="0.3">
      <c r="A177" s="13">
        <v>7485265</v>
      </c>
      <c r="B177" s="14" t="s">
        <v>172</v>
      </c>
      <c r="C177" s="15">
        <v>6640</v>
      </c>
      <c r="D177" s="15">
        <v>5337.8959999999997</v>
      </c>
      <c r="E177" s="15">
        <v>19</v>
      </c>
      <c r="F177" s="15">
        <v>0</v>
      </c>
      <c r="G177" s="15"/>
      <c r="H177" s="16">
        <v>4889.4960000000001</v>
      </c>
      <c r="I177" s="15">
        <v>1750.5039999999999</v>
      </c>
      <c r="J177" s="15">
        <v>87.525199999999984</v>
      </c>
      <c r="K177" s="17">
        <v>35.801317763630443</v>
      </c>
      <c r="L177">
        <v>4889.4960000000037</v>
      </c>
    </row>
    <row r="178" spans="1:12" x14ac:dyDescent="0.3">
      <c r="A178" s="13">
        <v>7489184</v>
      </c>
      <c r="B178" s="14" t="s">
        <v>173</v>
      </c>
      <c r="C178" s="15">
        <v>440</v>
      </c>
      <c r="D178" s="15">
        <v>355.65199999999999</v>
      </c>
      <c r="E178" s="15">
        <v>34</v>
      </c>
      <c r="F178" s="15">
        <v>0</v>
      </c>
      <c r="G178" s="15"/>
      <c r="H178" s="16">
        <v>315.53199999999998</v>
      </c>
      <c r="I178" s="15">
        <v>124.46800000000002</v>
      </c>
      <c r="J178" s="15">
        <v>124.46800000000002</v>
      </c>
      <c r="K178" s="17">
        <v>39.447029144429095</v>
      </c>
      <c r="L178">
        <v>6310.640000000004</v>
      </c>
    </row>
    <row r="179" spans="1:12" x14ac:dyDescent="0.3">
      <c r="A179" s="13">
        <v>7489203</v>
      </c>
      <c r="B179" s="14" t="s">
        <v>174</v>
      </c>
      <c r="C179" s="15">
        <v>1310</v>
      </c>
      <c r="D179" s="15">
        <v>1060.3139999999999</v>
      </c>
      <c r="E179" s="15">
        <v>34</v>
      </c>
      <c r="F179" s="15">
        <v>0</v>
      </c>
      <c r="G179" s="15"/>
      <c r="H179" s="16">
        <v>939.95399999999995</v>
      </c>
      <c r="I179" s="15">
        <v>370.04600000000005</v>
      </c>
      <c r="J179" s="15">
        <v>123.3486666666667</v>
      </c>
      <c r="K179" s="17">
        <v>39.368522289388636</v>
      </c>
      <c r="L179">
        <v>3759.8160000000016</v>
      </c>
    </row>
    <row r="180" spans="1:12" x14ac:dyDescent="0.3">
      <c r="A180" s="13">
        <v>7489234</v>
      </c>
      <c r="B180" s="14" t="s">
        <v>175</v>
      </c>
      <c r="C180" s="15">
        <v>2150</v>
      </c>
      <c r="D180" s="15">
        <v>1760.85</v>
      </c>
      <c r="E180" s="15">
        <v>44</v>
      </c>
      <c r="F180" s="15">
        <v>0</v>
      </c>
      <c r="G180" s="15"/>
      <c r="H180" s="16">
        <v>1501.25</v>
      </c>
      <c r="I180" s="15">
        <v>648.75</v>
      </c>
      <c r="J180" s="15">
        <v>129.75</v>
      </c>
      <c r="K180" s="17">
        <v>43.213988343047461</v>
      </c>
      <c r="L180">
        <v>6005.0000000000036</v>
      </c>
    </row>
    <row r="181" spans="1:12" x14ac:dyDescent="0.3">
      <c r="A181" s="13">
        <v>7489241</v>
      </c>
      <c r="B181" s="14" t="s">
        <v>176</v>
      </c>
      <c r="C181" s="15">
        <v>4250</v>
      </c>
      <c r="D181" s="15">
        <v>3498.1750000000002</v>
      </c>
      <c r="E181" s="15">
        <v>44</v>
      </c>
      <c r="F181" s="15">
        <v>0</v>
      </c>
      <c r="G181" s="15"/>
      <c r="H181" s="16">
        <v>2978.9750000000004</v>
      </c>
      <c r="I181" s="15">
        <v>1271.0249999999996</v>
      </c>
      <c r="J181" s="15">
        <v>127.10249999999996</v>
      </c>
      <c r="K181" s="17">
        <v>42.666521202762681</v>
      </c>
      <c r="L181">
        <v>2978.9750000000004</v>
      </c>
    </row>
    <row r="182" spans="1:12" x14ac:dyDescent="0.3">
      <c r="A182" s="13">
        <v>7489250</v>
      </c>
      <c r="B182" s="14" t="s">
        <v>177</v>
      </c>
      <c r="C182" s="15">
        <v>3201</v>
      </c>
      <c r="D182" s="15">
        <v>2631.5420999999997</v>
      </c>
      <c r="E182" s="15">
        <v>44</v>
      </c>
      <c r="F182" s="15">
        <v>0</v>
      </c>
      <c r="G182" s="15"/>
      <c r="H182" s="16">
        <v>2242.1420999999996</v>
      </c>
      <c r="I182" s="15">
        <v>958.85790000000043</v>
      </c>
      <c r="J182" s="15">
        <v>127.84772000000009</v>
      </c>
      <c r="K182" s="17">
        <v>42.765260060903394</v>
      </c>
      <c r="L182">
        <v>2242.1420999999996</v>
      </c>
    </row>
    <row r="183" spans="1:12" x14ac:dyDescent="0.3">
      <c r="A183" s="13">
        <v>7489253</v>
      </c>
      <c r="B183" s="14" t="s">
        <v>178</v>
      </c>
      <c r="C183" s="15">
        <v>6350</v>
      </c>
      <c r="D183" s="15">
        <v>5211.4449999999997</v>
      </c>
      <c r="E183" s="15">
        <v>44</v>
      </c>
      <c r="F183" s="15">
        <v>0</v>
      </c>
      <c r="G183" s="15"/>
      <c r="H183" s="16">
        <v>4432.6449999999995</v>
      </c>
      <c r="I183" s="15">
        <v>1917.3550000000005</v>
      </c>
      <c r="J183" s="15">
        <v>127.82366666666667</v>
      </c>
      <c r="K183" s="17">
        <v>43.255324980908703</v>
      </c>
      <c r="L183">
        <v>4432.6449999999995</v>
      </c>
    </row>
    <row r="184" spans="1:12" x14ac:dyDescent="0.3">
      <c r="A184" s="13">
        <v>7489265</v>
      </c>
      <c r="B184" s="14" t="s">
        <v>179</v>
      </c>
      <c r="C184" s="15">
        <v>8400</v>
      </c>
      <c r="D184" s="15">
        <v>6932.52</v>
      </c>
      <c r="E184" s="15">
        <v>44</v>
      </c>
      <c r="F184" s="15">
        <v>0</v>
      </c>
      <c r="G184" s="15"/>
      <c r="H184" s="16">
        <v>5894.1200000000008</v>
      </c>
      <c r="I184" s="15">
        <v>2505.8799999999992</v>
      </c>
      <c r="J184" s="15">
        <v>125.29399999999998</v>
      </c>
      <c r="K184" s="17">
        <v>42.514913167699312</v>
      </c>
      <c r="L184">
        <v>5894.1200000000044</v>
      </c>
    </row>
    <row r="185" spans="1:12" x14ac:dyDescent="0.3">
      <c r="A185" s="13">
        <v>7494174</v>
      </c>
      <c r="B185" s="14" t="s">
        <v>180</v>
      </c>
      <c r="C185" s="15">
        <v>199</v>
      </c>
      <c r="D185" s="15">
        <v>166.16499999999999</v>
      </c>
      <c r="E185" s="15">
        <v>0</v>
      </c>
      <c r="F185" s="15">
        <v>0</v>
      </c>
      <c r="G185" s="15"/>
      <c r="H185" s="16">
        <v>166.16499999999999</v>
      </c>
      <c r="I185" s="15">
        <v>32.835000000000008</v>
      </c>
      <c r="J185" s="15">
        <v>65.670000000000016</v>
      </c>
      <c r="K185" s="17">
        <v>19.760479041916174</v>
      </c>
      <c r="L185">
        <v>6646.6000000000031</v>
      </c>
    </row>
    <row r="186" spans="1:12" x14ac:dyDescent="0.3">
      <c r="A186" s="13">
        <v>7494184</v>
      </c>
      <c r="B186" s="14" t="s">
        <v>181</v>
      </c>
      <c r="C186" s="15">
        <v>375</v>
      </c>
      <c r="D186" s="15">
        <v>311.51249999999999</v>
      </c>
      <c r="E186" s="15">
        <v>0</v>
      </c>
      <c r="F186" s="15">
        <v>0</v>
      </c>
      <c r="G186" s="15"/>
      <c r="H186" s="16">
        <v>311.51249999999999</v>
      </c>
      <c r="I186" s="15">
        <v>63.487500000000011</v>
      </c>
      <c r="J186" s="15">
        <v>63.487500000000011</v>
      </c>
      <c r="K186" s="17">
        <v>20.380402070542917</v>
      </c>
      <c r="L186">
        <v>6230.2500000000045</v>
      </c>
    </row>
    <row r="187" spans="1:12" x14ac:dyDescent="0.3">
      <c r="A187" s="13">
        <v>7494234</v>
      </c>
      <c r="B187" s="14" t="s">
        <v>182</v>
      </c>
      <c r="C187" s="15">
        <v>1825</v>
      </c>
      <c r="D187" s="15">
        <v>1555.0825</v>
      </c>
      <c r="E187" s="15">
        <v>0</v>
      </c>
      <c r="F187" s="15">
        <v>0</v>
      </c>
      <c r="G187" s="15"/>
      <c r="H187" s="16">
        <v>1555.0825</v>
      </c>
      <c r="I187" s="15">
        <v>269.91750000000002</v>
      </c>
      <c r="J187" s="15">
        <v>53.983499999999992</v>
      </c>
      <c r="K187" s="17">
        <v>17.357117709189062</v>
      </c>
      <c r="L187">
        <v>6220.3300000000045</v>
      </c>
    </row>
    <row r="188" spans="1:12" x14ac:dyDescent="0.3">
      <c r="A188" s="13">
        <v>7494242</v>
      </c>
      <c r="B188" s="14" t="s">
        <v>183</v>
      </c>
      <c r="C188" s="15">
        <v>3320</v>
      </c>
      <c r="D188" s="15">
        <v>2832.2919999999999</v>
      </c>
      <c r="E188" s="15">
        <v>0</v>
      </c>
      <c r="F188" s="15">
        <v>0</v>
      </c>
      <c r="G188" s="15"/>
      <c r="H188" s="16">
        <v>2832.2919999999999</v>
      </c>
      <c r="I188" s="15">
        <v>487.70800000000008</v>
      </c>
      <c r="J188" s="15">
        <v>48.770800000000008</v>
      </c>
      <c r="K188" s="17">
        <v>17.219552221310519</v>
      </c>
      <c r="L188">
        <v>2832.2920000000013</v>
      </c>
    </row>
    <row r="189" spans="1:12" x14ac:dyDescent="0.3">
      <c r="A189" s="13">
        <v>7494251</v>
      </c>
      <c r="B189" s="14" t="s">
        <v>184</v>
      </c>
      <c r="C189" s="15">
        <v>2738</v>
      </c>
      <c r="D189" s="15">
        <v>2327.5738000000001</v>
      </c>
      <c r="E189" s="15">
        <v>0</v>
      </c>
      <c r="F189" s="15">
        <v>0</v>
      </c>
      <c r="G189" s="15"/>
      <c r="H189" s="16">
        <v>2327.5738000000001</v>
      </c>
      <c r="I189" s="15">
        <v>410.42619999999988</v>
      </c>
      <c r="J189" s="15">
        <v>54.723493333333295</v>
      </c>
      <c r="K189" s="17">
        <v>17.633219621221027</v>
      </c>
      <c r="L189">
        <v>2327.5738000000015</v>
      </c>
    </row>
    <row r="190" spans="1:12" x14ac:dyDescent="0.3">
      <c r="A190" s="13">
        <v>7494265</v>
      </c>
      <c r="B190" s="14" t="s">
        <v>185</v>
      </c>
      <c r="C190" s="15">
        <v>7200</v>
      </c>
      <c r="D190" s="15">
        <v>6163.92</v>
      </c>
      <c r="E190" s="15">
        <v>0</v>
      </c>
      <c r="F190" s="15">
        <v>0</v>
      </c>
      <c r="G190" s="15"/>
      <c r="H190" s="16">
        <v>6163.92</v>
      </c>
      <c r="I190" s="15">
        <v>1036.08</v>
      </c>
      <c r="J190" s="15">
        <v>51.803999999999974</v>
      </c>
      <c r="K190" s="17">
        <v>16.808784020558345</v>
      </c>
      <c r="L190">
        <v>6163.9200000000046</v>
      </c>
    </row>
    <row r="191" spans="1:12" x14ac:dyDescent="0.3">
      <c r="A191" s="13">
        <v>7505195</v>
      </c>
      <c r="B191" s="14" t="s">
        <v>186</v>
      </c>
      <c r="C191" s="15">
        <v>951</v>
      </c>
      <c r="D191" s="15">
        <v>768.31290000000013</v>
      </c>
      <c r="E191" s="15">
        <v>9</v>
      </c>
      <c r="F191" s="15">
        <v>0</v>
      </c>
      <c r="G191" s="15"/>
      <c r="H191" s="16">
        <v>741.76290000000017</v>
      </c>
      <c r="I191" s="15">
        <v>209.23709999999983</v>
      </c>
      <c r="J191" s="15">
        <v>83.694839999999886</v>
      </c>
      <c r="K191" s="17">
        <v>28.208083742122959</v>
      </c>
      <c r="L191">
        <v>2967.0516000000007</v>
      </c>
    </row>
    <row r="192" spans="1:12" x14ac:dyDescent="0.3">
      <c r="A192" s="13">
        <v>7511184</v>
      </c>
      <c r="B192" s="14" t="s">
        <v>216</v>
      </c>
      <c r="C192" s="15">
        <v>435</v>
      </c>
      <c r="D192" s="15">
        <v>347.47799999999995</v>
      </c>
      <c r="E192" s="15">
        <v>24</v>
      </c>
      <c r="F192" s="15">
        <v>0</v>
      </c>
      <c r="G192" s="15"/>
      <c r="H192" s="16">
        <v>319.15799999999996</v>
      </c>
      <c r="I192" s="15">
        <v>115.84200000000004</v>
      </c>
      <c r="J192" s="15">
        <v>115.84200000000004</v>
      </c>
      <c r="K192" s="17">
        <v>36.296129189931023</v>
      </c>
      <c r="L192">
        <v>6383.1600000000035</v>
      </c>
    </row>
    <row r="193" spans="1:12" x14ac:dyDescent="0.3">
      <c r="A193" s="13">
        <v>7511234</v>
      </c>
      <c r="B193" s="14" t="s">
        <v>217</v>
      </c>
      <c r="C193" s="15">
        <v>2100</v>
      </c>
      <c r="D193" s="15">
        <v>1693.23</v>
      </c>
      <c r="E193" s="15">
        <v>29</v>
      </c>
      <c r="F193" s="15">
        <v>0</v>
      </c>
      <c r="G193" s="15"/>
      <c r="H193" s="16">
        <v>1522.1299999999999</v>
      </c>
      <c r="I193" s="15">
        <v>577.87000000000012</v>
      </c>
      <c r="J193" s="15">
        <v>115.57400000000001</v>
      </c>
      <c r="K193" s="17">
        <v>37.964562816579409</v>
      </c>
      <c r="L193">
        <v>6088.5200000000032</v>
      </c>
    </row>
    <row r="194" spans="1:12" x14ac:dyDescent="0.3">
      <c r="A194" s="13">
        <v>7511240</v>
      </c>
      <c r="B194" s="14" t="s">
        <v>218</v>
      </c>
      <c r="C194" s="15">
        <v>2100</v>
      </c>
      <c r="D194" s="15">
        <v>1693.23</v>
      </c>
      <c r="E194" s="15">
        <v>29</v>
      </c>
      <c r="F194" s="15">
        <v>0</v>
      </c>
      <c r="G194" s="15"/>
      <c r="H194" s="16">
        <v>1522.1299999999999</v>
      </c>
      <c r="I194" s="15">
        <v>577.87000000000012</v>
      </c>
      <c r="J194" s="15">
        <v>115.57400000000001</v>
      </c>
      <c r="K194" s="17">
        <v>37.964562816579409</v>
      </c>
      <c r="L194">
        <v>6088.5199999999995</v>
      </c>
    </row>
    <row r="195" spans="1:12" x14ac:dyDescent="0.3">
      <c r="A195" s="13">
        <v>7511251</v>
      </c>
      <c r="B195" s="14" t="s">
        <v>219</v>
      </c>
      <c r="C195" s="15">
        <v>3101</v>
      </c>
      <c r="D195" s="15">
        <v>2513.6705999999999</v>
      </c>
      <c r="E195" s="15">
        <v>29</v>
      </c>
      <c r="F195" s="15">
        <v>0</v>
      </c>
      <c r="G195" s="15"/>
      <c r="H195" s="16">
        <v>2257.0205999999998</v>
      </c>
      <c r="I195" s="15">
        <v>843.97940000000017</v>
      </c>
      <c r="J195" s="15">
        <v>112.53058666666664</v>
      </c>
      <c r="K195" s="17">
        <v>37.393517808388644</v>
      </c>
      <c r="L195">
        <v>2257.0206000000012</v>
      </c>
    </row>
    <row r="196" spans="1:12" x14ac:dyDescent="0.3">
      <c r="A196" s="13">
        <v>7511269</v>
      </c>
      <c r="B196" s="14" t="s">
        <v>220</v>
      </c>
      <c r="C196" s="15">
        <v>8100</v>
      </c>
      <c r="D196" s="15">
        <v>6674.4</v>
      </c>
      <c r="E196" s="15">
        <v>44</v>
      </c>
      <c r="F196" s="15">
        <v>0</v>
      </c>
      <c r="G196" s="15"/>
      <c r="H196" s="16">
        <v>5636</v>
      </c>
      <c r="I196" s="15">
        <v>2464</v>
      </c>
      <c r="J196" s="15">
        <v>123.19999999999999</v>
      </c>
      <c r="K196" s="17">
        <v>43.718949609652235</v>
      </c>
      <c r="L196">
        <v>5636</v>
      </c>
    </row>
    <row r="197" spans="1:12" x14ac:dyDescent="0.3">
      <c r="A197" s="13">
        <v>7515184</v>
      </c>
      <c r="B197" s="14" t="s">
        <v>221</v>
      </c>
      <c r="C197" s="15">
        <v>490</v>
      </c>
      <c r="D197" s="15">
        <v>379.11300000000006</v>
      </c>
      <c r="E197" s="15">
        <v>24</v>
      </c>
      <c r="F197" s="15">
        <v>0</v>
      </c>
      <c r="G197" s="15"/>
      <c r="H197" s="16">
        <v>350.79300000000006</v>
      </c>
      <c r="I197" s="15">
        <v>139.20699999999994</v>
      </c>
      <c r="J197" s="15">
        <v>139.20699999999994</v>
      </c>
      <c r="K197" s="17">
        <v>39.683517059918508</v>
      </c>
      <c r="L197">
        <v>7015.860000000006</v>
      </c>
    </row>
    <row r="198" spans="1:12" x14ac:dyDescent="0.3">
      <c r="A198" s="13">
        <v>7515240</v>
      </c>
      <c r="B198" s="14" t="s">
        <v>222</v>
      </c>
      <c r="C198" s="15">
        <v>2100</v>
      </c>
      <c r="D198" s="15">
        <v>1717.17</v>
      </c>
      <c r="E198" s="15">
        <v>29</v>
      </c>
      <c r="F198" s="15">
        <v>0</v>
      </c>
      <c r="G198" s="15"/>
      <c r="H198" s="16">
        <v>1546.07</v>
      </c>
      <c r="I198" s="15">
        <v>553.93000000000006</v>
      </c>
      <c r="J198" s="15">
        <v>110.786</v>
      </c>
      <c r="K198" s="17">
        <v>35.828261333574815</v>
      </c>
      <c r="L198">
        <v>6184.28</v>
      </c>
    </row>
    <row r="199" spans="1:12" x14ac:dyDescent="0.3">
      <c r="A199" s="13">
        <v>7515265</v>
      </c>
      <c r="B199" s="14" t="s">
        <v>223</v>
      </c>
      <c r="C199" s="15">
        <v>8850</v>
      </c>
      <c r="D199" s="15">
        <v>7271.16</v>
      </c>
      <c r="E199" s="15">
        <v>44</v>
      </c>
      <c r="F199" s="15">
        <v>0</v>
      </c>
      <c r="G199" s="15"/>
      <c r="H199" s="16">
        <v>6232.7599999999993</v>
      </c>
      <c r="I199" s="15">
        <v>2617.2400000000007</v>
      </c>
      <c r="J199" s="15">
        <v>130.86200000000002</v>
      </c>
      <c r="K199" s="17">
        <v>41.991669822037125</v>
      </c>
      <c r="L199">
        <v>6232.7600000000039</v>
      </c>
    </row>
    <row r="200" spans="1:12" x14ac:dyDescent="0.3">
      <c r="A200" s="13">
        <v>7515269</v>
      </c>
      <c r="B200" s="14" t="s">
        <v>224</v>
      </c>
      <c r="C200" s="15">
        <v>8850</v>
      </c>
      <c r="D200" s="15">
        <v>7271.16</v>
      </c>
      <c r="E200" s="15">
        <v>44</v>
      </c>
      <c r="F200" s="15">
        <v>0</v>
      </c>
      <c r="G200" s="15"/>
      <c r="H200" s="16">
        <v>6232.7599999999993</v>
      </c>
      <c r="I200" s="15">
        <v>2617.2400000000007</v>
      </c>
      <c r="J200" s="15">
        <v>130.86200000000002</v>
      </c>
      <c r="K200" s="17">
        <v>41.991669822037125</v>
      </c>
      <c r="L200">
        <v>6232.7599999999993</v>
      </c>
    </row>
    <row r="201" spans="1:12" x14ac:dyDescent="0.3">
      <c r="A201" s="13">
        <v>7530228</v>
      </c>
      <c r="B201" s="14" t="s">
        <v>187</v>
      </c>
      <c r="C201" s="15">
        <v>378</v>
      </c>
      <c r="D201" s="15">
        <v>307.50299999999999</v>
      </c>
      <c r="E201" s="15">
        <v>0</v>
      </c>
      <c r="F201" s="15">
        <v>0</v>
      </c>
      <c r="G201" s="15"/>
      <c r="H201" s="16">
        <v>307.50299999999993</v>
      </c>
      <c r="I201" s="15">
        <v>70.497000000000071</v>
      </c>
      <c r="J201" s="15">
        <v>58.747500000000059</v>
      </c>
      <c r="K201" s="17">
        <v>22.925629993853747</v>
      </c>
      <c r="L201">
        <v>6150.0599999999986</v>
      </c>
    </row>
    <row r="202" spans="1:12" x14ac:dyDescent="0.3">
      <c r="A202" s="13">
        <v>7553213</v>
      </c>
      <c r="B202" s="14" t="s">
        <v>230</v>
      </c>
      <c r="C202" s="15">
        <v>1341</v>
      </c>
      <c r="D202" s="15">
        <v>1027.3400999999999</v>
      </c>
      <c r="E202" s="15">
        <v>24</v>
      </c>
      <c r="F202" s="15">
        <v>0</v>
      </c>
      <c r="G202" s="15"/>
      <c r="H202" s="16">
        <v>928.22009999999989</v>
      </c>
      <c r="I202" s="15">
        <v>412.77990000000011</v>
      </c>
      <c r="J202" s="15">
        <v>117.93711428571436</v>
      </c>
      <c r="K202" s="17">
        <v>44.470045412720552</v>
      </c>
      <c r="L202">
        <v>3712.8804000000005</v>
      </c>
    </row>
    <row r="203" spans="1:12" x14ac:dyDescent="0.3">
      <c r="A203" s="13">
        <v>7554251</v>
      </c>
      <c r="B203" s="14" t="s">
        <v>231</v>
      </c>
      <c r="C203" s="15">
        <v>2788</v>
      </c>
      <c r="D203" s="15">
        <v>2384.2975999999999</v>
      </c>
      <c r="E203" s="15">
        <v>0</v>
      </c>
      <c r="F203" s="15">
        <v>0</v>
      </c>
      <c r="G203" s="15"/>
      <c r="H203" s="16">
        <v>2384.2975999999999</v>
      </c>
      <c r="I203" s="15">
        <v>403.70240000000013</v>
      </c>
      <c r="J203" s="15">
        <v>53.826986666666699</v>
      </c>
      <c r="K203" s="17">
        <v>16.931711880261933</v>
      </c>
      <c r="L203">
        <v>2384.2976000000012</v>
      </c>
    </row>
    <row r="204" spans="1:12" x14ac:dyDescent="0.3">
      <c r="A204" s="13">
        <v>7554252</v>
      </c>
      <c r="B204" s="14" t="s">
        <v>232</v>
      </c>
      <c r="C204" s="15">
        <v>3183</v>
      </c>
      <c r="D204" s="15">
        <v>2704.9134000000004</v>
      </c>
      <c r="E204" s="15">
        <v>0</v>
      </c>
      <c r="F204" s="15">
        <v>0</v>
      </c>
      <c r="G204" s="15"/>
      <c r="H204" s="16">
        <v>2704.9133999999999</v>
      </c>
      <c r="I204" s="15">
        <v>478.08660000000009</v>
      </c>
      <c r="J204" s="15">
        <v>56.245482352941224</v>
      </c>
      <c r="K204" s="17">
        <v>17.674746999293955</v>
      </c>
      <c r="L204">
        <v>2704.9133999999999</v>
      </c>
    </row>
    <row r="205" spans="1:12" x14ac:dyDescent="0.3">
      <c r="A205" s="13">
        <v>7556184</v>
      </c>
      <c r="B205" s="14" t="s">
        <v>188</v>
      </c>
      <c r="C205" s="15">
        <v>400</v>
      </c>
      <c r="D205" s="15">
        <v>323.16000000000003</v>
      </c>
      <c r="E205" s="15">
        <v>9</v>
      </c>
      <c r="F205" s="15">
        <v>0</v>
      </c>
      <c r="G205" s="15"/>
      <c r="H205" s="16">
        <v>312.54000000000002</v>
      </c>
      <c r="I205" s="15">
        <v>87.45999999999998</v>
      </c>
      <c r="J205" s="15">
        <v>87.45999999999998</v>
      </c>
      <c r="K205" s="17">
        <v>27.983618096883589</v>
      </c>
      <c r="L205">
        <v>6250.8000000000047</v>
      </c>
    </row>
    <row r="206" spans="1:12" x14ac:dyDescent="0.3">
      <c r="A206" s="13">
        <v>7556203</v>
      </c>
      <c r="B206" s="14" t="s">
        <v>189</v>
      </c>
      <c r="C206" s="15">
        <v>1180</v>
      </c>
      <c r="D206" s="15">
        <v>959.45800000000008</v>
      </c>
      <c r="E206" s="15">
        <v>35</v>
      </c>
      <c r="F206" s="15">
        <v>0</v>
      </c>
      <c r="G206" s="15"/>
      <c r="H206" s="16">
        <v>835.55800000000011</v>
      </c>
      <c r="I206" s="15">
        <v>344.44199999999989</v>
      </c>
      <c r="J206" s="15">
        <v>114.81399999999996</v>
      </c>
      <c r="K206" s="17">
        <v>41.222991102951546</v>
      </c>
      <c r="L206">
        <v>3342.2320000000018</v>
      </c>
    </row>
    <row r="207" spans="1:12" x14ac:dyDescent="0.3">
      <c r="A207" s="13">
        <v>7556204</v>
      </c>
      <c r="B207" s="14" t="s">
        <v>190</v>
      </c>
      <c r="C207" s="15">
        <v>1180</v>
      </c>
      <c r="D207" s="15">
        <v>959.45800000000008</v>
      </c>
      <c r="E207" s="15">
        <v>35</v>
      </c>
      <c r="F207" s="15">
        <v>0</v>
      </c>
      <c r="G207" s="15"/>
      <c r="H207" s="16">
        <v>835.55800000000011</v>
      </c>
      <c r="I207" s="15">
        <v>344.44199999999989</v>
      </c>
      <c r="J207" s="15">
        <v>114.81399999999996</v>
      </c>
      <c r="K207" s="17">
        <v>41.222991102951546</v>
      </c>
      <c r="L207">
        <v>3342.2320000000004</v>
      </c>
    </row>
    <row r="208" spans="1:12" x14ac:dyDescent="0.3">
      <c r="A208" s="13">
        <v>7556234</v>
      </c>
      <c r="B208" s="14" t="s">
        <v>191</v>
      </c>
      <c r="C208" s="15">
        <v>1950</v>
      </c>
      <c r="D208" s="15">
        <v>1588.2750000000001</v>
      </c>
      <c r="E208" s="15">
        <v>20</v>
      </c>
      <c r="F208" s="15">
        <v>0</v>
      </c>
      <c r="G208" s="15"/>
      <c r="H208" s="16">
        <v>1470.2750000000001</v>
      </c>
      <c r="I208" s="15">
        <v>479.72499999999991</v>
      </c>
      <c r="J208" s="15">
        <v>95.944999999999993</v>
      </c>
      <c r="K208" s="17">
        <v>32.628249817211056</v>
      </c>
      <c r="L208">
        <v>5881.100000000004</v>
      </c>
    </row>
    <row r="209" spans="1:12" x14ac:dyDescent="0.3">
      <c r="A209" s="13">
        <v>7556241</v>
      </c>
      <c r="B209" s="14" t="s">
        <v>192</v>
      </c>
      <c r="C209" s="15">
        <v>3850</v>
      </c>
      <c r="D209" s="15">
        <v>3145.0650000000001</v>
      </c>
      <c r="E209" s="15">
        <v>30</v>
      </c>
      <c r="F209" s="15">
        <v>0</v>
      </c>
      <c r="G209" s="15"/>
      <c r="H209" s="16">
        <v>2791.0650000000001</v>
      </c>
      <c r="I209" s="15">
        <v>1058.9349999999999</v>
      </c>
      <c r="J209" s="15">
        <v>105.89350000000002</v>
      </c>
      <c r="K209" s="17">
        <v>37.940176957541297</v>
      </c>
      <c r="L209">
        <v>2791.0650000000001</v>
      </c>
    </row>
    <row r="210" spans="1:12" x14ac:dyDescent="0.3">
      <c r="A210" s="13">
        <v>7556242</v>
      </c>
      <c r="B210" s="14" t="s">
        <v>193</v>
      </c>
      <c r="C210" s="15">
        <v>3850</v>
      </c>
      <c r="D210" s="15">
        <v>3145.0650000000001</v>
      </c>
      <c r="E210" s="15">
        <v>40</v>
      </c>
      <c r="F210" s="15">
        <v>0</v>
      </c>
      <c r="G210" s="15"/>
      <c r="H210" s="16">
        <v>2673.0650000000001</v>
      </c>
      <c r="I210" s="15">
        <v>1176.9349999999999</v>
      </c>
      <c r="J210" s="15">
        <v>117.69349999999997</v>
      </c>
      <c r="K210" s="17">
        <v>44.029419411798813</v>
      </c>
      <c r="L210">
        <v>2673.0650000000014</v>
      </c>
    </row>
    <row r="211" spans="1:12" x14ac:dyDescent="0.3">
      <c r="A211" s="13">
        <v>7556250</v>
      </c>
      <c r="B211" s="14" t="s">
        <v>194</v>
      </c>
      <c r="C211" s="15">
        <v>2901</v>
      </c>
      <c r="D211" s="15">
        <v>2371.5675000000001</v>
      </c>
      <c r="E211" s="15">
        <v>35</v>
      </c>
      <c r="F211" s="15">
        <v>0</v>
      </c>
      <c r="G211" s="15"/>
      <c r="H211" s="16">
        <v>2061.8175000000001</v>
      </c>
      <c r="I211" s="15">
        <v>839.18249999999989</v>
      </c>
      <c r="J211" s="15">
        <v>111.89100000000002</v>
      </c>
      <c r="K211" s="17">
        <v>40.70110472920129</v>
      </c>
      <c r="L211">
        <v>2061.8175000000001</v>
      </c>
    </row>
    <row r="212" spans="1:12" x14ac:dyDescent="0.3">
      <c r="A212" s="13">
        <v>7556251</v>
      </c>
      <c r="B212" s="14" t="s">
        <v>195</v>
      </c>
      <c r="C212" s="15">
        <v>2901</v>
      </c>
      <c r="D212" s="15">
        <v>2371.5675000000001</v>
      </c>
      <c r="E212" s="15">
        <v>45</v>
      </c>
      <c r="F212" s="15">
        <v>0</v>
      </c>
      <c r="G212" s="15"/>
      <c r="H212" s="16">
        <v>1973.3175000000001</v>
      </c>
      <c r="I212" s="15">
        <v>927.68249999999989</v>
      </c>
      <c r="J212" s="15">
        <v>123.69099999999997</v>
      </c>
      <c r="K212" s="17">
        <v>47.011314702271676</v>
      </c>
      <c r="L212">
        <v>1973.3175000000015</v>
      </c>
    </row>
    <row r="213" spans="1:12" x14ac:dyDescent="0.3">
      <c r="A213" s="13">
        <v>7556253</v>
      </c>
      <c r="B213" s="14" t="s">
        <v>196</v>
      </c>
      <c r="C213" s="15">
        <v>5700</v>
      </c>
      <c r="D213" s="15">
        <v>4703.6400000000003</v>
      </c>
      <c r="E213" s="15">
        <v>35</v>
      </c>
      <c r="F213" s="15">
        <v>0</v>
      </c>
      <c r="G213" s="15"/>
      <c r="H213" s="16">
        <v>4084.1400000000003</v>
      </c>
      <c r="I213" s="15">
        <v>1615.8599999999997</v>
      </c>
      <c r="J213" s="15">
        <v>107.72399999999999</v>
      </c>
      <c r="K213" s="17">
        <v>39.564265671597923</v>
      </c>
      <c r="L213">
        <v>4084.1400000000003</v>
      </c>
    </row>
    <row r="214" spans="1:12" x14ac:dyDescent="0.3">
      <c r="A214" s="13">
        <v>7556265</v>
      </c>
      <c r="B214" s="14" t="s">
        <v>197</v>
      </c>
      <c r="C214" s="15">
        <v>7600</v>
      </c>
      <c r="D214" s="15">
        <v>6260.12</v>
      </c>
      <c r="E214" s="15">
        <v>40</v>
      </c>
      <c r="F214" s="15">
        <v>0</v>
      </c>
      <c r="G214" s="15"/>
      <c r="H214" s="16">
        <v>5316.12</v>
      </c>
      <c r="I214" s="15">
        <v>2283.88</v>
      </c>
      <c r="J214" s="15">
        <v>114.19400000000002</v>
      </c>
      <c r="K214" s="17">
        <v>42.961407944139715</v>
      </c>
      <c r="L214">
        <v>5316.1200000000035</v>
      </c>
    </row>
    <row r="215" spans="1:12" x14ac:dyDescent="0.3">
      <c r="A215" s="13">
        <v>7563250</v>
      </c>
      <c r="B215" s="14" t="s">
        <v>233</v>
      </c>
      <c r="C215" s="15">
        <v>2751</v>
      </c>
      <c r="D215" s="15">
        <v>2232.4365000000003</v>
      </c>
      <c r="E215" s="15">
        <v>29</v>
      </c>
      <c r="F215" s="15">
        <v>0</v>
      </c>
      <c r="G215" s="15"/>
      <c r="H215" s="16">
        <v>1975.7865000000004</v>
      </c>
      <c r="I215" s="15">
        <v>775.21349999999961</v>
      </c>
      <c r="J215" s="15">
        <v>103.36179999999996</v>
      </c>
      <c r="K215" s="17">
        <v>39.235691710617495</v>
      </c>
      <c r="L215">
        <v>1975.7865000000004</v>
      </c>
    </row>
    <row r="216" spans="1:12" x14ac:dyDescent="0.3">
      <c r="A216" s="13">
        <v>7577174</v>
      </c>
      <c r="B216" s="14" t="s">
        <v>198</v>
      </c>
      <c r="C216" s="15">
        <v>206</v>
      </c>
      <c r="D216" s="15">
        <v>162.82240000000002</v>
      </c>
      <c r="E216" s="15">
        <v>5</v>
      </c>
      <c r="F216" s="15">
        <v>0</v>
      </c>
      <c r="G216" s="15"/>
      <c r="H216" s="16">
        <v>159.8724</v>
      </c>
      <c r="I216" s="15">
        <v>46.127600000000001</v>
      </c>
      <c r="J216" s="15">
        <v>92.255200000000002</v>
      </c>
      <c r="K216" s="17">
        <v>28.852760076160738</v>
      </c>
      <c r="L216">
        <v>6394.8960000000034</v>
      </c>
    </row>
    <row r="217" spans="1:12" x14ac:dyDescent="0.3">
      <c r="A217" s="13">
        <v>7577184</v>
      </c>
      <c r="B217" s="14" t="s">
        <v>199</v>
      </c>
      <c r="C217" s="15">
        <v>390</v>
      </c>
      <c r="D217" s="15">
        <v>317.34300000000002</v>
      </c>
      <c r="E217" s="15">
        <v>5</v>
      </c>
      <c r="F217" s="15">
        <v>0</v>
      </c>
      <c r="G217" s="15"/>
      <c r="H217" s="16">
        <v>311.44299999999998</v>
      </c>
      <c r="I217" s="15">
        <v>78.557000000000016</v>
      </c>
      <c r="J217" s="15">
        <v>78.557000000000016</v>
      </c>
      <c r="K217" s="17">
        <v>25.223556156343225</v>
      </c>
      <c r="L217">
        <v>6228.8600000000042</v>
      </c>
    </row>
    <row r="218" spans="1:12" x14ac:dyDescent="0.3">
      <c r="A218" s="13">
        <v>7577203</v>
      </c>
      <c r="B218" s="14" t="s">
        <v>200</v>
      </c>
      <c r="C218" s="15">
        <v>1160</v>
      </c>
      <c r="D218" s="15">
        <v>941.22399999999993</v>
      </c>
      <c r="E218" s="15">
        <v>15</v>
      </c>
      <c r="F218" s="15">
        <v>0</v>
      </c>
      <c r="G218" s="15"/>
      <c r="H218" s="16">
        <v>888.12400000000002</v>
      </c>
      <c r="I218" s="15">
        <v>271.87599999999998</v>
      </c>
      <c r="J218" s="15">
        <v>90.625333333333344</v>
      </c>
      <c r="K218" s="17">
        <v>30.612391963284402</v>
      </c>
      <c r="L218">
        <v>3552.4960000000015</v>
      </c>
    </row>
    <row r="219" spans="1:12" x14ac:dyDescent="0.3">
      <c r="A219" s="13">
        <v>7577234</v>
      </c>
      <c r="B219" s="14" t="s">
        <v>201</v>
      </c>
      <c r="C219" s="15">
        <v>1920</v>
      </c>
      <c r="D219" s="15">
        <v>1568.2560000000001</v>
      </c>
      <c r="E219" s="15">
        <v>25</v>
      </c>
      <c r="F219" s="15">
        <v>0</v>
      </c>
      <c r="G219" s="15"/>
      <c r="H219" s="16">
        <v>1420.7560000000001</v>
      </c>
      <c r="I219" s="15">
        <v>499.24399999999991</v>
      </c>
      <c r="J219" s="15">
        <v>99.848799999999983</v>
      </c>
      <c r="K219" s="17">
        <v>35.13932019291137</v>
      </c>
      <c r="L219">
        <v>5683.024000000004</v>
      </c>
    </row>
    <row r="220" spans="1:12" x14ac:dyDescent="0.3">
      <c r="A220" s="13">
        <v>7577242</v>
      </c>
      <c r="B220" s="14" t="s">
        <v>202</v>
      </c>
      <c r="C220" s="15">
        <v>3800</v>
      </c>
      <c r="D220" s="15">
        <v>3122.46</v>
      </c>
      <c r="E220" s="15">
        <v>25</v>
      </c>
      <c r="F220" s="15">
        <v>0</v>
      </c>
      <c r="G220" s="15"/>
      <c r="H220" s="16">
        <v>2827.4600000000005</v>
      </c>
      <c r="I220" s="15">
        <v>972.53999999999951</v>
      </c>
      <c r="J220" s="15">
        <v>97.253999999999962</v>
      </c>
      <c r="K220" s="17">
        <v>34.396242563997347</v>
      </c>
      <c r="L220">
        <v>2827.4600000000019</v>
      </c>
    </row>
    <row r="221" spans="1:12" x14ac:dyDescent="0.3">
      <c r="A221" s="13">
        <v>7577251</v>
      </c>
      <c r="B221" s="14" t="s">
        <v>203</v>
      </c>
      <c r="C221" s="15">
        <v>2851</v>
      </c>
      <c r="D221" s="15">
        <v>2341.8114</v>
      </c>
      <c r="E221" s="15">
        <v>25</v>
      </c>
      <c r="F221" s="15">
        <v>0</v>
      </c>
      <c r="G221" s="15"/>
      <c r="H221" s="16">
        <v>2120.5614</v>
      </c>
      <c r="I221" s="15">
        <v>730.43859999999995</v>
      </c>
      <c r="J221" s="15">
        <v>97.391813333333346</v>
      </c>
      <c r="K221" s="17">
        <v>34.445529377267739</v>
      </c>
      <c r="L221">
        <v>2120.5614000000014</v>
      </c>
    </row>
    <row r="222" spans="1:12" x14ac:dyDescent="0.3">
      <c r="A222" s="13">
        <v>7577256</v>
      </c>
      <c r="B222" s="14" t="s">
        <v>204</v>
      </c>
      <c r="C222" s="15">
        <v>5700</v>
      </c>
      <c r="D222" s="15">
        <v>4675.1400000000003</v>
      </c>
      <c r="E222" s="15">
        <v>20</v>
      </c>
      <c r="F222" s="15">
        <v>0</v>
      </c>
      <c r="G222" s="15"/>
      <c r="H222" s="16">
        <v>4321.1400000000003</v>
      </c>
      <c r="I222" s="15">
        <v>1378.8599999999997</v>
      </c>
      <c r="J222" s="15">
        <v>91.923999999999978</v>
      </c>
      <c r="K222" s="17">
        <v>31.909634957441774</v>
      </c>
      <c r="L222">
        <v>4321.1400000000031</v>
      </c>
    </row>
    <row r="223" spans="1:12" x14ac:dyDescent="0.3">
      <c r="A223" s="13">
        <v>7577265</v>
      </c>
      <c r="B223" s="14" t="s">
        <v>205</v>
      </c>
      <c r="C223" s="15">
        <v>7500</v>
      </c>
      <c r="D223" s="15">
        <v>6119.25</v>
      </c>
      <c r="E223" s="15">
        <v>25</v>
      </c>
      <c r="F223" s="15">
        <v>0</v>
      </c>
      <c r="G223" s="15"/>
      <c r="H223" s="16">
        <v>5529.2499999999991</v>
      </c>
      <c r="I223" s="15">
        <v>1970.7500000000009</v>
      </c>
      <c r="J223" s="15">
        <v>98.537500000000023</v>
      </c>
      <c r="K223" s="17">
        <v>35.642266130126174</v>
      </c>
      <c r="L223">
        <v>5529.2500000000027</v>
      </c>
    </row>
    <row r="224" spans="1:12" x14ac:dyDescent="0.3">
      <c r="A224" s="13">
        <v>7584165</v>
      </c>
      <c r="B224" s="14" t="s">
        <v>320</v>
      </c>
      <c r="C224" s="15">
        <v>115.5</v>
      </c>
      <c r="D224" s="15">
        <v>90.575100000000006</v>
      </c>
      <c r="E224" s="15">
        <v>0</v>
      </c>
      <c r="F224" s="15">
        <v>0</v>
      </c>
      <c r="G224" s="15"/>
      <c r="H224" s="16">
        <v>90.575100000000006</v>
      </c>
      <c r="I224" s="15">
        <v>24.924899999999994</v>
      </c>
      <c r="J224" s="15">
        <v>99.699599999999975</v>
      </c>
      <c r="K224" s="17">
        <v>27.518490181076249</v>
      </c>
      <c r="L224">
        <v>1811.5020000000002</v>
      </c>
    </row>
    <row r="225" spans="1:12" x14ac:dyDescent="0.3">
      <c r="A225" s="13">
        <v>7584175</v>
      </c>
      <c r="B225" s="14" t="s">
        <v>321</v>
      </c>
      <c r="C225" s="15">
        <v>226</v>
      </c>
      <c r="D225" s="15">
        <v>181.16159999999999</v>
      </c>
      <c r="E225" s="15">
        <v>0</v>
      </c>
      <c r="F225" s="15">
        <v>0</v>
      </c>
      <c r="G225" s="15"/>
      <c r="H225" s="16">
        <v>181.16159999999999</v>
      </c>
      <c r="I225" s="15">
        <v>44.838400000000007</v>
      </c>
      <c r="J225" s="15">
        <v>89.676800000000014</v>
      </c>
      <c r="K225" s="17">
        <v>24.750499001996012</v>
      </c>
      <c r="L225">
        <v>3623.2320000000018</v>
      </c>
    </row>
    <row r="226" spans="1:12" x14ac:dyDescent="0.3">
      <c r="A226" s="13">
        <v>7584184</v>
      </c>
      <c r="B226" s="14" t="s">
        <v>322</v>
      </c>
      <c r="C226" s="15">
        <v>415</v>
      </c>
      <c r="D226" s="15">
        <v>334.82200000000006</v>
      </c>
      <c r="E226" s="15">
        <v>0</v>
      </c>
      <c r="F226" s="15">
        <v>0</v>
      </c>
      <c r="G226" s="15"/>
      <c r="H226" s="16">
        <v>334.82200000000006</v>
      </c>
      <c r="I226" s="15">
        <v>80.17799999999994</v>
      </c>
      <c r="J226" s="15">
        <v>80.17799999999994</v>
      </c>
      <c r="K226" s="17">
        <v>23.946455131383221</v>
      </c>
      <c r="L226">
        <v>6696.440000000006</v>
      </c>
    </row>
    <row r="227" spans="1:12" x14ac:dyDescent="0.3">
      <c r="A227" s="13">
        <v>7584185</v>
      </c>
      <c r="B227" s="14" t="s">
        <v>323</v>
      </c>
      <c r="C227" s="15">
        <v>415</v>
      </c>
      <c r="D227" s="15">
        <v>334.82200000000006</v>
      </c>
      <c r="E227" s="15">
        <v>0</v>
      </c>
      <c r="F227" s="15">
        <v>0</v>
      </c>
      <c r="G227" s="15"/>
      <c r="H227" s="16">
        <v>334.82200000000006</v>
      </c>
      <c r="I227" s="15">
        <v>80.17799999999994</v>
      </c>
      <c r="J227" s="15">
        <v>80.17799999999994</v>
      </c>
      <c r="K227" s="17">
        <v>23.946455131383221</v>
      </c>
      <c r="L227">
        <v>3348.2200000000025</v>
      </c>
    </row>
    <row r="228" spans="1:12" x14ac:dyDescent="0.3">
      <c r="A228" s="13">
        <v>7586234</v>
      </c>
      <c r="B228" s="14" t="s">
        <v>237</v>
      </c>
      <c r="C228" s="15">
        <v>1617</v>
      </c>
      <c r="D228" s="15">
        <v>1340.9781</v>
      </c>
      <c r="E228" s="15">
        <v>0</v>
      </c>
      <c r="F228" s="15">
        <v>0</v>
      </c>
      <c r="G228" s="15"/>
      <c r="H228" s="16">
        <v>1340.9781</v>
      </c>
      <c r="I228" s="15">
        <v>276.02189999999996</v>
      </c>
      <c r="J228" s="15">
        <v>55.204379999999958</v>
      </c>
      <c r="K228" s="17">
        <v>20.583624743759792</v>
      </c>
      <c r="L228">
        <v>5363.9124000000038</v>
      </c>
    </row>
    <row r="229" spans="1:12" x14ac:dyDescent="0.3">
      <c r="A229" s="13">
        <v>7586242</v>
      </c>
      <c r="B229" s="14" t="s">
        <v>238</v>
      </c>
      <c r="C229" s="15">
        <v>3193</v>
      </c>
      <c r="D229" s="15">
        <v>2649.2321000000002</v>
      </c>
      <c r="E229" s="15">
        <v>0</v>
      </c>
      <c r="F229" s="15">
        <v>0</v>
      </c>
      <c r="G229" s="15"/>
      <c r="H229" s="16">
        <v>2649.2321000000002</v>
      </c>
      <c r="I229" s="15">
        <v>543.76789999999983</v>
      </c>
      <c r="J229" s="15">
        <v>54.376789999999971</v>
      </c>
      <c r="K229" s="17">
        <v>20.525491141376392</v>
      </c>
      <c r="L229">
        <v>2649.2321000000015</v>
      </c>
    </row>
    <row r="230" spans="1:12" x14ac:dyDescent="0.3">
      <c r="A230" s="13">
        <v>7586265</v>
      </c>
      <c r="B230" s="14" t="s">
        <v>239</v>
      </c>
      <c r="C230" s="15">
        <v>6277</v>
      </c>
      <c r="D230" s="15">
        <v>5211.1653999999999</v>
      </c>
      <c r="E230" s="15">
        <v>0</v>
      </c>
      <c r="F230" s="15">
        <v>0</v>
      </c>
      <c r="G230" s="15"/>
      <c r="H230" s="16">
        <v>5211.1654000000008</v>
      </c>
      <c r="I230" s="15">
        <v>1065.8345999999992</v>
      </c>
      <c r="J230" s="15">
        <v>53.291729999999973</v>
      </c>
      <c r="K230" s="17">
        <v>20.452902914960234</v>
      </c>
      <c r="L230">
        <v>5211.1654000000044</v>
      </c>
    </row>
    <row r="231" spans="1:12" x14ac:dyDescent="0.3">
      <c r="A231" s="13">
        <v>7600184</v>
      </c>
      <c r="B231" s="14" t="s">
        <v>105</v>
      </c>
      <c r="C231" s="15">
        <v>339</v>
      </c>
      <c r="D231" s="15">
        <v>261.1995</v>
      </c>
      <c r="E231" s="15">
        <v>5</v>
      </c>
      <c r="F231" s="15">
        <v>0</v>
      </c>
      <c r="G231" s="15"/>
      <c r="H231" s="16">
        <v>255.29949999999999</v>
      </c>
      <c r="I231" s="15">
        <v>83.700500000000005</v>
      </c>
      <c r="J231" s="15">
        <v>83.700500000000005</v>
      </c>
      <c r="K231" s="17">
        <v>32.785218929140093</v>
      </c>
      <c r="L231">
        <v>5105.9900000000034</v>
      </c>
    </row>
    <row r="232" spans="1:12" x14ac:dyDescent="0.3">
      <c r="A232" s="13">
        <v>7600203</v>
      </c>
      <c r="B232" s="14" t="s">
        <v>106</v>
      </c>
      <c r="C232" s="15">
        <v>1017</v>
      </c>
      <c r="D232" s="15">
        <v>759.39390000000003</v>
      </c>
      <c r="E232" s="15">
        <v>12</v>
      </c>
      <c r="F232" s="15">
        <v>0</v>
      </c>
      <c r="G232" s="15"/>
      <c r="H232" s="16">
        <v>716.91390000000001</v>
      </c>
      <c r="I232" s="15">
        <v>300.08609999999999</v>
      </c>
      <c r="J232" s="15">
        <v>100.02869999999999</v>
      </c>
      <c r="K232" s="17">
        <v>41.858039019748396</v>
      </c>
      <c r="L232">
        <v>2867.6556000000014</v>
      </c>
    </row>
    <row r="233" spans="1:12" x14ac:dyDescent="0.3">
      <c r="A233" s="13">
        <v>7607184</v>
      </c>
      <c r="B233" s="14" t="s">
        <v>327</v>
      </c>
      <c r="C233" s="15">
        <v>315</v>
      </c>
      <c r="D233" s="15">
        <v>254.83500000000001</v>
      </c>
      <c r="E233" s="15">
        <v>0</v>
      </c>
      <c r="F233" s="15">
        <v>0</v>
      </c>
      <c r="G233" s="15"/>
      <c r="H233" s="16">
        <v>254.83500000000001</v>
      </c>
      <c r="I233" s="15">
        <v>60.164999999999992</v>
      </c>
      <c r="J233" s="15">
        <v>60.164999999999992</v>
      </c>
      <c r="K233" s="17">
        <v>23.609394313967858</v>
      </c>
      <c r="L233">
        <v>5096.7000000000035</v>
      </c>
    </row>
    <row r="234" spans="1:12" x14ac:dyDescent="0.3">
      <c r="A234" s="13">
        <v>7607185</v>
      </c>
      <c r="B234" s="14" t="s">
        <v>324</v>
      </c>
      <c r="C234" s="15">
        <v>315</v>
      </c>
      <c r="D234" s="15">
        <v>254.83500000000001</v>
      </c>
      <c r="E234" s="15">
        <v>0</v>
      </c>
      <c r="F234" s="15">
        <v>0</v>
      </c>
      <c r="G234" s="15"/>
      <c r="H234" s="16">
        <v>254.83500000000001</v>
      </c>
      <c r="I234" s="15">
        <v>60.164999999999992</v>
      </c>
      <c r="J234" s="15">
        <v>60.164999999999992</v>
      </c>
      <c r="K234" s="17">
        <v>23.609394313967858</v>
      </c>
      <c r="L234">
        <v>2548.3500000000013</v>
      </c>
    </row>
    <row r="235" spans="1:12" x14ac:dyDescent="0.3">
      <c r="A235" s="13">
        <v>7638234</v>
      </c>
      <c r="B235" s="14" t="s">
        <v>123</v>
      </c>
      <c r="C235" s="15">
        <v>2100</v>
      </c>
      <c r="D235" s="15">
        <v>1729.14</v>
      </c>
      <c r="E235" s="15">
        <v>0</v>
      </c>
      <c r="F235" s="15">
        <v>0</v>
      </c>
      <c r="G235" s="15"/>
      <c r="H235" s="16">
        <v>1729.14</v>
      </c>
      <c r="I235" s="15">
        <v>370.8599999999999</v>
      </c>
      <c r="J235" s="15">
        <v>74.171999999999969</v>
      </c>
      <c r="K235" s="17">
        <v>21.447656060238028</v>
      </c>
      <c r="L235">
        <v>6916.5600000000049</v>
      </c>
    </row>
    <row r="236" spans="1:12" x14ac:dyDescent="0.3">
      <c r="A236" s="13">
        <v>7651265</v>
      </c>
      <c r="B236" s="14" t="s">
        <v>236</v>
      </c>
      <c r="C236" s="15">
        <v>6048</v>
      </c>
      <c r="D236" s="15">
        <v>4881.3407999999999</v>
      </c>
      <c r="E236" s="15">
        <v>0</v>
      </c>
      <c r="F236" s="15">
        <v>0</v>
      </c>
      <c r="G236" s="15"/>
      <c r="H236" s="16">
        <v>4881.3407999999999</v>
      </c>
      <c r="I236" s="15">
        <v>1166.6592000000001</v>
      </c>
      <c r="J236" s="15">
        <v>58.332959999999986</v>
      </c>
      <c r="K236" s="17">
        <v>23.900384091190684</v>
      </c>
      <c r="L236">
        <v>4881.3408000000036</v>
      </c>
    </row>
    <row r="237" spans="1:12" x14ac:dyDescent="0.3">
      <c r="A237" s="13">
        <v>7670213</v>
      </c>
      <c r="B237" s="14" t="s">
        <v>107</v>
      </c>
      <c r="C237" s="15">
        <v>1215</v>
      </c>
      <c r="D237" s="15">
        <v>979.65449999999998</v>
      </c>
      <c r="E237" s="15">
        <v>14</v>
      </c>
      <c r="F237" s="15">
        <v>0</v>
      </c>
      <c r="G237" s="15"/>
      <c r="H237" s="16">
        <v>921.83449999999993</v>
      </c>
      <c r="I237" s="15">
        <v>293.16550000000007</v>
      </c>
      <c r="J237" s="15">
        <v>83.761571428571472</v>
      </c>
      <c r="K237" s="17">
        <v>31.802400539359297</v>
      </c>
      <c r="L237">
        <v>3687.3380000000006</v>
      </c>
    </row>
    <row r="238" spans="1:12" x14ac:dyDescent="0.3">
      <c r="A238" s="13">
        <v>7677184</v>
      </c>
      <c r="B238" s="14" t="s">
        <v>131</v>
      </c>
      <c r="C238" s="15">
        <v>360</v>
      </c>
      <c r="D238" s="15">
        <v>306.28800000000001</v>
      </c>
      <c r="E238" s="15">
        <v>30</v>
      </c>
      <c r="F238" s="15">
        <v>0</v>
      </c>
      <c r="G238" s="15"/>
      <c r="H238" s="16">
        <v>270.88800000000003</v>
      </c>
      <c r="I238" s="15">
        <v>89.111999999999966</v>
      </c>
      <c r="J238" s="15">
        <v>89.111999999999966</v>
      </c>
      <c r="K238" s="17">
        <v>32.896252325684401</v>
      </c>
      <c r="L238">
        <v>5417.7600000000048</v>
      </c>
    </row>
    <row r="239" spans="1:12" x14ac:dyDescent="0.3">
      <c r="A239" s="13">
        <v>7677282</v>
      </c>
      <c r="B239" s="14" t="s">
        <v>129</v>
      </c>
      <c r="C239" s="15">
        <v>3800</v>
      </c>
      <c r="D239" s="15">
        <v>3319.3</v>
      </c>
      <c r="E239" s="15">
        <v>30</v>
      </c>
      <c r="F239" s="15">
        <v>0</v>
      </c>
      <c r="G239" s="15"/>
      <c r="H239" s="16">
        <v>2929.9000000000005</v>
      </c>
      <c r="I239" s="15">
        <v>870.09999999999945</v>
      </c>
      <c r="J239" s="15">
        <v>79.099999999999909</v>
      </c>
      <c r="K239" s="17">
        <v>29.697259292125988</v>
      </c>
      <c r="L239">
        <v>2929.9000000000005</v>
      </c>
    </row>
    <row r="240" spans="1:12" x14ac:dyDescent="0.3">
      <c r="A240" s="13">
        <v>7677283</v>
      </c>
      <c r="B240" s="14" t="s">
        <v>130</v>
      </c>
      <c r="C240" s="15">
        <v>5500</v>
      </c>
      <c r="D240" s="15">
        <v>4788.3</v>
      </c>
      <c r="E240" s="15">
        <v>30</v>
      </c>
      <c r="F240" s="15">
        <v>0</v>
      </c>
      <c r="G240" s="15"/>
      <c r="H240" s="16">
        <v>4221.9000000000005</v>
      </c>
      <c r="I240" s="15">
        <v>1278.0999999999995</v>
      </c>
      <c r="J240" s="15">
        <v>79.881249999999966</v>
      </c>
      <c r="K240" s="17">
        <v>30.273099789194426</v>
      </c>
      <c r="L240">
        <v>4221.9000000000005</v>
      </c>
    </row>
    <row r="241" spans="1:12" x14ac:dyDescent="0.3">
      <c r="A241" s="13">
        <v>7688203</v>
      </c>
      <c r="B241" s="14" t="s">
        <v>108</v>
      </c>
      <c r="C241" s="15">
        <v>1077</v>
      </c>
      <c r="D241" s="15">
        <v>857.29199999999992</v>
      </c>
      <c r="E241" s="15">
        <v>8</v>
      </c>
      <c r="F241" s="15">
        <v>0</v>
      </c>
      <c r="G241" s="15"/>
      <c r="H241" s="16">
        <v>828.97199999999987</v>
      </c>
      <c r="I241" s="15">
        <v>248.02800000000013</v>
      </c>
      <c r="J241" s="15">
        <v>82.676000000000045</v>
      </c>
      <c r="K241" s="17">
        <v>29.919949045323623</v>
      </c>
      <c r="L241">
        <v>3315.8880000000008</v>
      </c>
    </row>
    <row r="242" spans="1:12" x14ac:dyDescent="0.3">
      <c r="A242" s="13">
        <v>7688213</v>
      </c>
      <c r="B242" s="14" t="s">
        <v>109</v>
      </c>
      <c r="C242" s="15">
        <v>1257</v>
      </c>
      <c r="D242" s="15">
        <v>1000.8234000000001</v>
      </c>
      <c r="E242" s="15">
        <v>8</v>
      </c>
      <c r="F242" s="15">
        <v>0</v>
      </c>
      <c r="G242" s="15"/>
      <c r="H242" s="16">
        <v>967.78340000000014</v>
      </c>
      <c r="I242" s="15">
        <v>289.21659999999986</v>
      </c>
      <c r="J242" s="15">
        <v>82.633314285714278</v>
      </c>
      <c r="K242" s="17">
        <v>29.884434884913279</v>
      </c>
      <c r="L242">
        <v>3871.1336000000015</v>
      </c>
    </row>
    <row r="243" spans="1:12" x14ac:dyDescent="0.3">
      <c r="A243" s="13">
        <v>7701341</v>
      </c>
      <c r="B243" s="14" t="s">
        <v>287</v>
      </c>
      <c r="C243" s="15">
        <v>7229</v>
      </c>
      <c r="D243" s="15">
        <v>6243.6872999999996</v>
      </c>
      <c r="E243" s="15">
        <v>26</v>
      </c>
      <c r="F243" s="15">
        <v>0</v>
      </c>
      <c r="G243" s="15"/>
      <c r="H243" s="16">
        <v>5630.0872999999992</v>
      </c>
      <c r="I243" s="15">
        <v>1598.9127000000008</v>
      </c>
      <c r="J243" s="15">
        <v>79.945635000000038</v>
      </c>
      <c r="K243" s="17">
        <v>28.39942996976265</v>
      </c>
      <c r="L243">
        <v>5630.087300000002</v>
      </c>
    </row>
    <row r="244" spans="1:12" x14ac:dyDescent="0.3">
      <c r="A244" s="13">
        <v>7705303</v>
      </c>
      <c r="B244" s="14" t="s">
        <v>288</v>
      </c>
      <c r="C244" s="15">
        <v>253</v>
      </c>
      <c r="D244" s="15">
        <v>199.21219999999997</v>
      </c>
      <c r="E244" s="15">
        <v>45</v>
      </c>
      <c r="F244" s="15">
        <v>0</v>
      </c>
      <c r="G244" s="15"/>
      <c r="H244" s="16">
        <v>172.66219999999996</v>
      </c>
      <c r="I244" s="15">
        <v>80.337800000000044</v>
      </c>
      <c r="J244" s="15">
        <v>160.67560000000009</v>
      </c>
      <c r="K244" s="17">
        <v>46.528887040707268</v>
      </c>
      <c r="L244">
        <v>3453.2439999999983</v>
      </c>
    </row>
    <row r="245" spans="1:12" x14ac:dyDescent="0.3">
      <c r="A245" s="13">
        <v>7705313</v>
      </c>
      <c r="B245" s="14" t="s">
        <v>289</v>
      </c>
      <c r="C245" s="15">
        <v>495</v>
      </c>
      <c r="D245" s="15">
        <v>397.03949999999998</v>
      </c>
      <c r="E245" s="15">
        <v>45</v>
      </c>
      <c r="F245" s="15">
        <v>0</v>
      </c>
      <c r="G245" s="15"/>
      <c r="H245" s="16">
        <v>343.93950000000001</v>
      </c>
      <c r="I245" s="15">
        <v>151.06049999999999</v>
      </c>
      <c r="J245" s="15">
        <v>151.06049999999999</v>
      </c>
      <c r="K245" s="17">
        <v>43.920660464994569</v>
      </c>
      <c r="L245">
        <v>3439.395</v>
      </c>
    </row>
    <row r="246" spans="1:12" x14ac:dyDescent="0.3">
      <c r="A246" s="13">
        <v>7705327</v>
      </c>
      <c r="B246" s="14" t="s">
        <v>290</v>
      </c>
      <c r="C246" s="15">
        <v>930</v>
      </c>
      <c r="D246" s="15">
        <v>782.22300000000007</v>
      </c>
      <c r="E246" s="15">
        <v>45</v>
      </c>
      <c r="F246" s="15">
        <v>0</v>
      </c>
      <c r="G246" s="15"/>
      <c r="H246" s="16">
        <v>676.02300000000014</v>
      </c>
      <c r="I246" s="15">
        <v>253.97699999999986</v>
      </c>
      <c r="J246" s="15">
        <v>126.98849999999993</v>
      </c>
      <c r="K246" s="17">
        <v>37.569283885311563</v>
      </c>
      <c r="L246">
        <v>4056.1380000000022</v>
      </c>
    </row>
    <row r="247" spans="1:12" x14ac:dyDescent="0.3">
      <c r="A247" s="13">
        <v>7705337</v>
      </c>
      <c r="B247" s="14" t="s">
        <v>291</v>
      </c>
      <c r="C247" s="15">
        <v>1370</v>
      </c>
      <c r="D247" s="15">
        <v>1161.075</v>
      </c>
      <c r="E247" s="15">
        <v>45</v>
      </c>
      <c r="F247" s="15">
        <v>0</v>
      </c>
      <c r="G247" s="15"/>
      <c r="H247" s="16">
        <v>1001.7750000000001</v>
      </c>
      <c r="I247" s="15">
        <v>368.22499999999991</v>
      </c>
      <c r="J247" s="15">
        <v>122.74166666666667</v>
      </c>
      <c r="K247" s="17">
        <v>36.757255870829262</v>
      </c>
      <c r="L247">
        <v>4007.1</v>
      </c>
    </row>
    <row r="248" spans="1:12" x14ac:dyDescent="0.3">
      <c r="A248" s="13">
        <v>7705339</v>
      </c>
      <c r="B248" s="14" t="s">
        <v>292</v>
      </c>
      <c r="C248" s="15">
        <v>2255</v>
      </c>
      <c r="D248" s="15">
        <v>1896.2295000000001</v>
      </c>
      <c r="E248" s="15">
        <v>45</v>
      </c>
      <c r="F248" s="15">
        <v>0</v>
      </c>
      <c r="G248" s="15"/>
      <c r="H248" s="16">
        <v>1630.7295000000001</v>
      </c>
      <c r="I248" s="15">
        <v>624.27049999999986</v>
      </c>
      <c r="J248" s="15">
        <v>124.85409999999996</v>
      </c>
      <c r="K248" s="17">
        <v>38.281670871839864</v>
      </c>
      <c r="L248">
        <v>1630.7295000000001</v>
      </c>
    </row>
    <row r="249" spans="1:12" x14ac:dyDescent="0.3">
      <c r="A249" s="13">
        <v>7705340</v>
      </c>
      <c r="B249" s="14" t="s">
        <v>293</v>
      </c>
      <c r="C249" s="15">
        <v>2255</v>
      </c>
      <c r="D249" s="15">
        <v>1896.2295000000001</v>
      </c>
      <c r="E249" s="15">
        <v>45</v>
      </c>
      <c r="F249" s="15">
        <v>0</v>
      </c>
      <c r="G249" s="15"/>
      <c r="H249" s="16">
        <v>1630.7295000000001</v>
      </c>
      <c r="I249" s="15">
        <v>624.27049999999986</v>
      </c>
      <c r="J249" s="15">
        <v>124.85409999999996</v>
      </c>
      <c r="K249" s="17">
        <v>38.281670871839864</v>
      </c>
      <c r="L249">
        <v>3261.4590000000003</v>
      </c>
    </row>
    <row r="250" spans="1:12" x14ac:dyDescent="0.3">
      <c r="A250" s="13">
        <v>7705341</v>
      </c>
      <c r="B250" s="14" t="s">
        <v>294</v>
      </c>
      <c r="C250" s="15">
        <v>8900</v>
      </c>
      <c r="D250" s="15">
        <v>7488.46</v>
      </c>
      <c r="E250" s="15">
        <v>60</v>
      </c>
      <c r="F250" s="15">
        <v>0</v>
      </c>
      <c r="G250" s="15"/>
      <c r="H250" s="16">
        <v>6072.46</v>
      </c>
      <c r="I250" s="15">
        <v>2827.54</v>
      </c>
      <c r="J250" s="15">
        <v>141.37700000000001</v>
      </c>
      <c r="K250" s="17">
        <v>46.563336769612313</v>
      </c>
      <c r="L250">
        <v>6072.4600000000028</v>
      </c>
    </row>
    <row r="251" spans="1:12" x14ac:dyDescent="0.3">
      <c r="A251" s="13">
        <v>7727303</v>
      </c>
      <c r="B251" s="14" t="s">
        <v>295</v>
      </c>
      <c r="C251" s="15">
        <v>261</v>
      </c>
      <c r="D251" s="15">
        <v>206.47709999999998</v>
      </c>
      <c r="E251" s="15">
        <v>50</v>
      </c>
      <c r="F251" s="15">
        <v>0</v>
      </c>
      <c r="G251" s="15"/>
      <c r="H251" s="16">
        <v>176.97709999999995</v>
      </c>
      <c r="I251" s="15">
        <v>84.02290000000005</v>
      </c>
      <c r="J251" s="15">
        <v>168.0458000000001</v>
      </c>
      <c r="K251" s="17">
        <v>47.476707438420043</v>
      </c>
      <c r="L251">
        <v>3539.5419999999986</v>
      </c>
    </row>
    <row r="252" spans="1:12" x14ac:dyDescent="0.3">
      <c r="A252" s="13">
        <v>7727313</v>
      </c>
      <c r="B252" s="14" t="s">
        <v>296</v>
      </c>
      <c r="C252" s="15">
        <v>510</v>
      </c>
      <c r="D252" s="15">
        <v>419.11800000000005</v>
      </c>
      <c r="E252" s="15">
        <v>45</v>
      </c>
      <c r="F252" s="15">
        <v>0</v>
      </c>
      <c r="G252" s="15"/>
      <c r="H252" s="16">
        <v>366.01800000000009</v>
      </c>
      <c r="I252" s="15">
        <v>143.98199999999991</v>
      </c>
      <c r="J252" s="15">
        <v>143.98199999999991</v>
      </c>
      <c r="K252" s="17">
        <v>39.337409635591655</v>
      </c>
      <c r="L252">
        <v>3660.1800000000007</v>
      </c>
    </row>
    <row r="253" spans="1:12" x14ac:dyDescent="0.3">
      <c r="A253" s="13">
        <v>7727327</v>
      </c>
      <c r="B253" s="14" t="s">
        <v>297</v>
      </c>
      <c r="C253" s="15">
        <v>1010</v>
      </c>
      <c r="D253" s="15">
        <v>822.03899999999999</v>
      </c>
      <c r="E253" s="15">
        <v>45</v>
      </c>
      <c r="F253" s="15">
        <v>0</v>
      </c>
      <c r="G253" s="15"/>
      <c r="H253" s="16">
        <v>715.83899999999994</v>
      </c>
      <c r="I253" s="15">
        <v>294.16100000000006</v>
      </c>
      <c r="J253" s="15">
        <v>147.08050000000003</v>
      </c>
      <c r="K253" s="17">
        <v>41.093178773439291</v>
      </c>
      <c r="L253">
        <v>4295.0340000000006</v>
      </c>
    </row>
    <row r="254" spans="1:12" x14ac:dyDescent="0.3">
      <c r="A254" s="13">
        <v>7727337</v>
      </c>
      <c r="B254" s="14" t="s">
        <v>298</v>
      </c>
      <c r="C254" s="15">
        <v>1500</v>
      </c>
      <c r="D254" s="15">
        <v>1205.2499999999998</v>
      </c>
      <c r="E254" s="15">
        <v>40</v>
      </c>
      <c r="F254" s="15">
        <v>0</v>
      </c>
      <c r="G254" s="15"/>
      <c r="H254" s="16">
        <v>1063.6499999999999</v>
      </c>
      <c r="I254" s="15">
        <v>436.35000000000014</v>
      </c>
      <c r="J254" s="15">
        <v>145.45000000000005</v>
      </c>
      <c r="K254" s="17">
        <v>41.023833027781713</v>
      </c>
      <c r="L254">
        <v>4254.5999999999985</v>
      </c>
    </row>
    <row r="255" spans="1:12" x14ac:dyDescent="0.3">
      <c r="A255" s="13">
        <v>7727341</v>
      </c>
      <c r="B255" s="14" t="s">
        <v>299</v>
      </c>
      <c r="C255" s="15">
        <v>9200</v>
      </c>
      <c r="D255" s="15">
        <v>7912.92</v>
      </c>
      <c r="E255" s="15">
        <v>45</v>
      </c>
      <c r="F255" s="15">
        <v>0</v>
      </c>
      <c r="G255" s="15"/>
      <c r="H255" s="16">
        <v>6850.92</v>
      </c>
      <c r="I255" s="15">
        <v>2349.08</v>
      </c>
      <c r="J255" s="15">
        <v>117.45400000000001</v>
      </c>
      <c r="K255" s="17">
        <v>34.28853351082774</v>
      </c>
      <c r="L255">
        <v>6850.9200000000028</v>
      </c>
    </row>
    <row r="256" spans="1:12" x14ac:dyDescent="0.3">
      <c r="A256" s="13">
        <v>7742341</v>
      </c>
      <c r="B256" s="14" t="s">
        <v>384</v>
      </c>
      <c r="C256" s="15">
        <v>9500</v>
      </c>
      <c r="D256" s="15">
        <v>7801.4</v>
      </c>
      <c r="E256" s="15">
        <v>0</v>
      </c>
      <c r="F256" s="15">
        <v>0</v>
      </c>
      <c r="G256" s="15"/>
      <c r="H256" s="16">
        <v>7801.4</v>
      </c>
      <c r="I256" s="15">
        <v>1698.6000000000004</v>
      </c>
      <c r="J256" s="15">
        <v>84.93</v>
      </c>
      <c r="K256" s="17">
        <v>21.773015099853879</v>
      </c>
      <c r="L256">
        <v>7801.4000000000033</v>
      </c>
    </row>
    <row r="257" spans="1:12" x14ac:dyDescent="0.3">
      <c r="A257" s="13">
        <v>7849303</v>
      </c>
      <c r="B257" s="14" t="s">
        <v>300</v>
      </c>
      <c r="C257" s="15">
        <v>288</v>
      </c>
      <c r="D257" s="15">
        <v>205.71840000000003</v>
      </c>
      <c r="E257" s="15">
        <v>40</v>
      </c>
      <c r="F257" s="15">
        <v>0</v>
      </c>
      <c r="G257" s="15"/>
      <c r="H257" s="16">
        <v>182.11840000000001</v>
      </c>
      <c r="I257" s="15">
        <v>105.88159999999999</v>
      </c>
      <c r="J257" s="15">
        <v>211.76319999999998</v>
      </c>
      <c r="K257" s="17">
        <v>58.138881079561422</v>
      </c>
      <c r="L257">
        <v>3642.3679999999995</v>
      </c>
    </row>
    <row r="258" spans="1:12" x14ac:dyDescent="0.3">
      <c r="A258" s="13">
        <v>7849313</v>
      </c>
      <c r="B258" s="14" t="s">
        <v>301</v>
      </c>
      <c r="C258" s="15">
        <v>565</v>
      </c>
      <c r="D258" s="15">
        <v>426.68799999999993</v>
      </c>
      <c r="E258" s="15">
        <v>0</v>
      </c>
      <c r="F258" s="15">
        <v>0</v>
      </c>
      <c r="G258" s="15"/>
      <c r="H258" s="16">
        <v>426.68799999999993</v>
      </c>
      <c r="I258" s="15">
        <v>138.31200000000007</v>
      </c>
      <c r="J258" s="15">
        <v>138.31200000000007</v>
      </c>
      <c r="K258" s="17">
        <v>32.415254237288153</v>
      </c>
      <c r="L258">
        <v>4266.8799999999992</v>
      </c>
    </row>
    <row r="259" spans="1:12" x14ac:dyDescent="0.3">
      <c r="A259" s="13">
        <v>7849327</v>
      </c>
      <c r="B259" s="14" t="s">
        <v>302</v>
      </c>
      <c r="C259" s="15">
        <v>1150</v>
      </c>
      <c r="D259" s="15">
        <v>838.58</v>
      </c>
      <c r="E259" s="15">
        <v>40</v>
      </c>
      <c r="F259" s="15">
        <v>0</v>
      </c>
      <c r="G259" s="15"/>
      <c r="H259" s="16">
        <v>744.18000000000006</v>
      </c>
      <c r="I259" s="15">
        <v>405.81999999999994</v>
      </c>
      <c r="J259" s="15">
        <v>202.90999999999997</v>
      </c>
      <c r="K259" s="17">
        <v>54.53250557660779</v>
      </c>
      <c r="L259">
        <v>4465.0800000000017</v>
      </c>
    </row>
    <row r="260" spans="1:12" x14ac:dyDescent="0.3">
      <c r="A260" s="13">
        <v>7849337</v>
      </c>
      <c r="B260" s="14" t="s">
        <v>303</v>
      </c>
      <c r="C260" s="15">
        <v>1700</v>
      </c>
      <c r="D260" s="15">
        <v>1248.6500000000001</v>
      </c>
      <c r="E260" s="15">
        <v>40</v>
      </c>
      <c r="F260" s="15">
        <v>0</v>
      </c>
      <c r="G260" s="15"/>
      <c r="H260" s="16">
        <v>1107.0500000000002</v>
      </c>
      <c r="I260" s="15">
        <v>592.94999999999982</v>
      </c>
      <c r="J260" s="15">
        <v>197.64999999999992</v>
      </c>
      <c r="K260" s="17">
        <v>53.561266428797225</v>
      </c>
      <c r="L260">
        <v>4428.2</v>
      </c>
    </row>
    <row r="261" spans="1:12" x14ac:dyDescent="0.3">
      <c r="A261" s="13">
        <v>7849340</v>
      </c>
      <c r="B261" s="14" t="s">
        <v>304</v>
      </c>
      <c r="C261" s="15">
        <v>2800</v>
      </c>
      <c r="D261" s="15">
        <v>2059.4</v>
      </c>
      <c r="E261" s="15">
        <v>40</v>
      </c>
      <c r="F261" s="15">
        <v>0</v>
      </c>
      <c r="G261" s="15"/>
      <c r="H261" s="16">
        <v>1823.4</v>
      </c>
      <c r="I261" s="15">
        <v>976.59999999999991</v>
      </c>
      <c r="J261" s="15">
        <v>195.32</v>
      </c>
      <c r="K261" s="17">
        <v>53.559284852473397</v>
      </c>
      <c r="L261">
        <v>3646.8</v>
      </c>
    </row>
    <row r="262" spans="1:12" x14ac:dyDescent="0.3">
      <c r="A262" s="13">
        <v>7849341</v>
      </c>
      <c r="B262" s="14" t="s">
        <v>305</v>
      </c>
      <c r="C262" s="15">
        <v>10800</v>
      </c>
      <c r="D262" s="15">
        <v>8023.3200000000015</v>
      </c>
      <c r="E262" s="15">
        <v>40</v>
      </c>
      <c r="F262" s="15">
        <v>0</v>
      </c>
      <c r="G262" s="15"/>
      <c r="H262" s="16">
        <v>7079.3200000000015</v>
      </c>
      <c r="I262" s="15">
        <v>3720.6799999999985</v>
      </c>
      <c r="J262" s="15">
        <v>186.03399999999993</v>
      </c>
      <c r="K262" s="17">
        <v>52.557025251012782</v>
      </c>
      <c r="L262">
        <v>7079.3200000000043</v>
      </c>
    </row>
    <row r="263" spans="1:12" x14ac:dyDescent="0.3">
      <c r="A263" s="13">
        <v>7849343</v>
      </c>
      <c r="B263" s="14" t="s">
        <v>306</v>
      </c>
      <c r="C263" s="15">
        <v>3865</v>
      </c>
      <c r="D263" s="15">
        <v>2853.5295000000001</v>
      </c>
      <c r="E263" s="15">
        <v>40</v>
      </c>
      <c r="F263" s="15">
        <v>0</v>
      </c>
      <c r="G263" s="15"/>
      <c r="H263" s="16">
        <v>2523.1295000000005</v>
      </c>
      <c r="I263" s="15">
        <v>1341.8704999999995</v>
      </c>
      <c r="J263" s="15">
        <v>191.69578571428559</v>
      </c>
      <c r="K263" s="17">
        <v>53.182783523398193</v>
      </c>
      <c r="L263">
        <v>2523.1295000000005</v>
      </c>
    </row>
    <row r="264" spans="1:12" x14ac:dyDescent="0.3">
      <c r="A264" s="13">
        <v>7849344</v>
      </c>
      <c r="B264" s="14" t="s">
        <v>307</v>
      </c>
      <c r="C264" s="15">
        <v>5450</v>
      </c>
      <c r="D264" s="15">
        <v>4048.26</v>
      </c>
      <c r="E264" s="15">
        <v>40</v>
      </c>
      <c r="F264" s="15">
        <v>0</v>
      </c>
      <c r="G264" s="15"/>
      <c r="H264" s="16">
        <v>3576.2600000000007</v>
      </c>
      <c r="I264" s="15">
        <v>1873.7399999999993</v>
      </c>
      <c r="J264" s="15">
        <v>187.37399999999991</v>
      </c>
      <c r="K264" s="17">
        <v>52.393841611068517</v>
      </c>
      <c r="L264">
        <v>3576.2600000000007</v>
      </c>
    </row>
    <row r="265" spans="1:12" x14ac:dyDescent="0.3">
      <c r="A265" s="13">
        <v>7886339</v>
      </c>
      <c r="B265" s="14" t="s">
        <v>346</v>
      </c>
      <c r="C265" s="15">
        <v>2175</v>
      </c>
      <c r="D265" s="15">
        <v>1941.405</v>
      </c>
      <c r="E265" s="15">
        <v>0</v>
      </c>
      <c r="F265" s="15">
        <v>0</v>
      </c>
      <c r="G265" s="15"/>
      <c r="H265" s="16">
        <v>1941.405</v>
      </c>
      <c r="I265" s="15">
        <v>233.59500000000003</v>
      </c>
      <c r="J265" s="15">
        <v>46.718999999999994</v>
      </c>
      <c r="K265" s="17">
        <v>12.032265292404213</v>
      </c>
      <c r="L265">
        <v>1941.405</v>
      </c>
    </row>
    <row r="266" spans="1:12" x14ac:dyDescent="0.3">
      <c r="A266" s="13">
        <v>7886341</v>
      </c>
      <c r="B266" s="14" t="s">
        <v>347</v>
      </c>
      <c r="C266" s="15">
        <v>8540</v>
      </c>
      <c r="D266" s="15">
        <v>7622.8040000000001</v>
      </c>
      <c r="E266" s="15">
        <v>0</v>
      </c>
      <c r="F266" s="15">
        <v>0</v>
      </c>
      <c r="G266" s="15"/>
      <c r="H266" s="16">
        <v>7622.8040000000001</v>
      </c>
      <c r="I266" s="15">
        <v>917.19599999999991</v>
      </c>
      <c r="J266" s="15">
        <v>45.859800000000007</v>
      </c>
      <c r="K266" s="17">
        <v>12.032265292404212</v>
      </c>
      <c r="L266">
        <v>7622.8040000000037</v>
      </c>
    </row>
    <row r="267" spans="1:12" x14ac:dyDescent="0.3">
      <c r="A267" s="13">
        <v>7903303</v>
      </c>
      <c r="B267" s="14" t="s">
        <v>308</v>
      </c>
      <c r="C267" s="15">
        <v>293</v>
      </c>
      <c r="D267" s="15">
        <v>215.99959999999999</v>
      </c>
      <c r="E267" s="15">
        <v>0</v>
      </c>
      <c r="F267" s="15">
        <v>0</v>
      </c>
      <c r="G267" s="15"/>
      <c r="H267" s="16">
        <v>215.99959999999999</v>
      </c>
      <c r="I267" s="15">
        <v>77.000400000000013</v>
      </c>
      <c r="J267" s="15">
        <v>154.00080000000003</v>
      </c>
      <c r="K267" s="17">
        <v>35.648399348887693</v>
      </c>
      <c r="L267">
        <v>4319.9919999999993</v>
      </c>
    </row>
    <row r="268" spans="1:12" x14ac:dyDescent="0.3">
      <c r="A268" s="13">
        <v>7903313</v>
      </c>
      <c r="B268" s="14" t="s">
        <v>309</v>
      </c>
      <c r="C268" s="15">
        <v>580</v>
      </c>
      <c r="D268" s="15">
        <v>426.01</v>
      </c>
      <c r="E268" s="15">
        <v>50</v>
      </c>
      <c r="F268" s="15">
        <v>0</v>
      </c>
      <c r="G268" s="15"/>
      <c r="H268" s="16">
        <v>367.01</v>
      </c>
      <c r="I268" s="15">
        <v>212.99</v>
      </c>
      <c r="J268" s="15">
        <v>212.99</v>
      </c>
      <c r="K268" s="17">
        <v>58.033841039753689</v>
      </c>
      <c r="L268">
        <v>3670.1</v>
      </c>
    </row>
    <row r="269" spans="1:12" x14ac:dyDescent="0.3">
      <c r="A269" s="13">
        <v>7903327</v>
      </c>
      <c r="B269" s="14" t="s">
        <v>310</v>
      </c>
      <c r="C269" s="15">
        <v>1080</v>
      </c>
      <c r="D269" s="15">
        <v>794.12399999999991</v>
      </c>
      <c r="E269" s="15">
        <v>0</v>
      </c>
      <c r="F269" s="15">
        <v>0</v>
      </c>
      <c r="G269" s="15"/>
      <c r="H269" s="16">
        <v>794.12399999999991</v>
      </c>
      <c r="I269" s="15">
        <v>285.87600000000009</v>
      </c>
      <c r="J269" s="15">
        <v>142.93800000000005</v>
      </c>
      <c r="K269" s="17">
        <v>35.998912008703947</v>
      </c>
      <c r="L269">
        <v>4764.7440000000006</v>
      </c>
    </row>
    <row r="270" spans="1:12" x14ac:dyDescent="0.3">
      <c r="A270" s="18">
        <v>7903337</v>
      </c>
      <c r="B270" s="19" t="s">
        <v>311</v>
      </c>
      <c r="C270" s="20">
        <v>1605</v>
      </c>
      <c r="D270" s="20">
        <v>1182.0825000000002</v>
      </c>
      <c r="E270" s="20">
        <v>0</v>
      </c>
      <c r="F270" s="20">
        <v>0</v>
      </c>
      <c r="G270" s="20"/>
      <c r="H270" s="21">
        <v>1182.0825000000002</v>
      </c>
      <c r="I270" s="20">
        <v>422.91749999999979</v>
      </c>
      <c r="J270" s="20">
        <v>140.97249999999991</v>
      </c>
      <c r="K270" s="22">
        <v>35.777325186693801</v>
      </c>
      <c r="L270">
        <v>4728.33</v>
      </c>
    </row>
    <row r="271" spans="1:12" x14ac:dyDescent="0.3">
      <c r="A271" s="13">
        <v>7903339</v>
      </c>
      <c r="B271" s="14" t="s">
        <v>312</v>
      </c>
      <c r="C271" s="15">
        <v>2800</v>
      </c>
      <c r="D271" s="15">
        <v>2070.6</v>
      </c>
      <c r="E271" s="15">
        <v>0</v>
      </c>
      <c r="F271" s="15">
        <v>0</v>
      </c>
      <c r="G271" s="15"/>
      <c r="H271" s="16">
        <v>2070.6</v>
      </c>
      <c r="I271" s="15">
        <v>729.40000000000009</v>
      </c>
      <c r="J271" s="15">
        <v>145.88</v>
      </c>
      <c r="K271" s="17">
        <v>35.226504394861394</v>
      </c>
      <c r="L271" s="13">
        <v>2070.6</v>
      </c>
    </row>
    <row r="272" spans="1:12" x14ac:dyDescent="0.3">
      <c r="A272" s="13">
        <v>7903341</v>
      </c>
      <c r="B272" s="14" t="s">
        <v>315</v>
      </c>
      <c r="C272" s="15">
        <v>10800</v>
      </c>
      <c r="D272" s="15">
        <v>8003.88</v>
      </c>
      <c r="E272" s="15">
        <v>0</v>
      </c>
      <c r="F272" s="15">
        <v>0</v>
      </c>
      <c r="G272" s="15"/>
      <c r="H272" s="16">
        <v>8003.88</v>
      </c>
      <c r="I272" s="15">
        <v>2796.12</v>
      </c>
      <c r="J272" s="15">
        <v>139.80599999999998</v>
      </c>
      <c r="K272" s="17">
        <v>34.934556739981112</v>
      </c>
      <c r="L272" s="13">
        <v>8003.8800000000037</v>
      </c>
    </row>
    <row r="273" spans="1:12" x14ac:dyDescent="0.3">
      <c r="A273" s="13">
        <v>7903343</v>
      </c>
      <c r="B273" s="14" t="s">
        <v>313</v>
      </c>
      <c r="C273" s="15">
        <v>3885</v>
      </c>
      <c r="D273" s="15">
        <v>2884.6125000000002</v>
      </c>
      <c r="E273" s="15">
        <v>0</v>
      </c>
      <c r="F273" s="15">
        <v>0</v>
      </c>
      <c r="G273" s="15"/>
      <c r="H273" s="16">
        <v>2884.6125000000002</v>
      </c>
      <c r="I273" s="15">
        <v>1000.3874999999998</v>
      </c>
      <c r="J273" s="15">
        <v>142.91249999999997</v>
      </c>
      <c r="K273" s="17">
        <v>34.680134680134671</v>
      </c>
      <c r="L273" s="13">
        <v>2884.6125000000002</v>
      </c>
    </row>
    <row r="274" spans="1:12" x14ac:dyDescent="0.3">
      <c r="A274" s="13">
        <v>7903344</v>
      </c>
      <c r="B274" s="13" t="s">
        <v>314</v>
      </c>
      <c r="C274" s="13">
        <v>5500</v>
      </c>
      <c r="D274" s="13">
        <v>4090.9</v>
      </c>
      <c r="E274" s="13">
        <v>0</v>
      </c>
      <c r="F274" s="13">
        <v>0</v>
      </c>
      <c r="G274" s="13"/>
      <c r="H274" s="13">
        <v>4090.9</v>
      </c>
      <c r="I274" s="13">
        <v>1409.1</v>
      </c>
      <c r="J274" s="13">
        <v>140.90999999999997</v>
      </c>
      <c r="K274" s="13">
        <v>34.444743210540466</v>
      </c>
      <c r="L274" s="13">
        <v>4090.9</v>
      </c>
    </row>
  </sheetData>
  <conditionalFormatting sqref="A2">
    <cfRule type="duplicateValues" dxfId="6" priority="2"/>
  </conditionalFormatting>
  <conditionalFormatting sqref="E2:G273">
    <cfRule type="cellIs" dxfId="5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94C9-2898-4307-ACFE-7852F90C3697}">
  <dimension ref="A2:Z275"/>
  <sheetViews>
    <sheetView topLeftCell="Z248" workbookViewId="0">
      <selection activeCell="Z3" sqref="Z3:Z275"/>
    </sheetView>
  </sheetViews>
  <sheetFormatPr defaultRowHeight="14.4" x14ac:dyDescent="0.3"/>
  <cols>
    <col min="4" max="4" width="46.21875" bestFit="1" customWidth="1"/>
    <col min="12" max="12" width="15.88671875" bestFit="1" customWidth="1"/>
    <col min="14" max="15" width="11.88671875" customWidth="1"/>
    <col min="26" max="26" width="230.44140625" bestFit="1" customWidth="1"/>
  </cols>
  <sheetData>
    <row r="2" spans="1:26" s="2" customFormat="1" ht="43.2" x14ac:dyDescent="0.3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92</v>
      </c>
      <c r="G2" s="1" t="s">
        <v>2</v>
      </c>
      <c r="H2" s="2" t="s">
        <v>93</v>
      </c>
      <c r="I2" s="2" t="s">
        <v>4</v>
      </c>
      <c r="J2" s="2" t="s">
        <v>7</v>
      </c>
      <c r="K2" s="1" t="s">
        <v>2</v>
      </c>
      <c r="L2" s="2" t="s">
        <v>8</v>
      </c>
      <c r="M2" s="1" t="s">
        <v>4</v>
      </c>
      <c r="N2" s="2" t="s">
        <v>94</v>
      </c>
      <c r="O2" s="1" t="s">
        <v>2</v>
      </c>
      <c r="P2" s="2" t="s">
        <v>95</v>
      </c>
      <c r="Q2" s="1" t="s">
        <v>4</v>
      </c>
      <c r="R2" s="2" t="s">
        <v>96</v>
      </c>
      <c r="S2" s="1" t="s">
        <v>2</v>
      </c>
      <c r="T2" s="2" t="s">
        <v>97</v>
      </c>
      <c r="U2" s="1" t="s">
        <v>4</v>
      </c>
      <c r="V2" s="2" t="s">
        <v>98</v>
      </c>
      <c r="W2" s="1" t="s">
        <v>2</v>
      </c>
      <c r="X2" s="2" t="s">
        <v>99</v>
      </c>
      <c r="Y2" s="1" t="s">
        <v>12</v>
      </c>
      <c r="Z2" s="1"/>
    </row>
    <row r="3" spans="1:26" x14ac:dyDescent="0.3">
      <c r="A3" s="1" t="s">
        <v>13</v>
      </c>
      <c r="B3">
        <f>'Small Pricelist'!A2</f>
        <v>1404184</v>
      </c>
      <c r="C3" s="1" t="s">
        <v>14</v>
      </c>
      <c r="D3" t="str">
        <f>VLOOKUP(B3,'Small Pricelist'!A:L,2,0)</f>
        <v>SERVO PRIDE 40 - 20x1L - HDPE</v>
      </c>
      <c r="E3" s="1" t="s">
        <v>14</v>
      </c>
      <c r="F3">
        <f>VLOOKUP(B3,'Small Pricelist'!A:L,3,0)</f>
        <v>400</v>
      </c>
      <c r="G3" s="1" t="s">
        <v>14</v>
      </c>
      <c r="H3">
        <f>VLOOKUP(B3,'Small Pricelist'!A:L,4,0)</f>
        <v>328.52</v>
      </c>
      <c r="I3" s="1" t="s">
        <v>14</v>
      </c>
      <c r="J3">
        <f>VLOOKUP(B3,'Small Pricelist'!A:L,5,0)</f>
        <v>3</v>
      </c>
      <c r="K3" s="1" t="s">
        <v>14</v>
      </c>
      <c r="L3">
        <f>VLOOKUP(B3,'Small Pricelist'!A:L,6,0)</f>
        <v>0</v>
      </c>
      <c r="M3" s="1" t="s">
        <v>14</v>
      </c>
      <c r="N3">
        <f>VLOOKUP(B3,'Small Pricelist'!A:L,7,0)</f>
        <v>0</v>
      </c>
      <c r="O3" s="1" t="s">
        <v>14</v>
      </c>
      <c r="P3">
        <f>VLOOKUP(B3,'Small Pricelist'!A:L,8,0)</f>
        <v>324.98</v>
      </c>
      <c r="Q3" s="1" t="s">
        <v>14</v>
      </c>
      <c r="R3">
        <f>VLOOKUP(B3,'Small Pricelist'!A:L,9,0)</f>
        <v>75.019999999999982</v>
      </c>
      <c r="S3" s="1" t="s">
        <v>14</v>
      </c>
      <c r="T3">
        <f>VLOOKUP(B3,'Small Pricelist'!A:L,10,0)</f>
        <v>75.019999999999982</v>
      </c>
      <c r="U3" s="1" t="s">
        <v>14</v>
      </c>
      <c r="V3">
        <f>VLOOKUP(B3,'Small Pricelist'!A:L,11,0)</f>
        <v>23.084497507538916</v>
      </c>
      <c r="W3" s="1" t="s">
        <v>14</v>
      </c>
      <c r="X3">
        <f>VLOOKUP(B3,'Small Pricelist'!A:L,12,0)</f>
        <v>6499.6000000000049</v>
      </c>
      <c r="Y3" s="1" t="s">
        <v>12</v>
      </c>
      <c r="Z3" s="25" t="str">
        <f t="shared" ref="Z3:Z66" si="0">CONCATENATE(A3,B3,C3,D3,E3,F3,G3,H3,I3,J3,K3,L3,M3,N3,O3,P3,Q3,R3,S3,T3,U3,V3,W3,X3,Y3)</f>
        <v>&lt;tr&gt; &lt;td&gt;1404184&lt;/td&gt;&lt;td&gt;SERVO PRIDE 40 - 20x1L - HDPE&lt;/td&gt;&lt;td&gt;400&lt;/td&gt;&lt;td&gt;328.52&lt;/td&gt;&lt;td&gt;3&lt;/td&gt;&lt;td&gt;0&lt;/td&gt;&lt;td&gt;0&lt;/td&gt;&lt;td&gt;324.98&lt;/td&gt;&lt;td&gt;75.02&lt;/td&gt;&lt;td&gt;75.02&lt;/td&gt;&lt;td&gt;23.0844975075389&lt;/td&gt;&lt;td&gt;6499.6&lt;/td&gt;&lt;/tr&gt;</v>
      </c>
    </row>
    <row r="4" spans="1:26" x14ac:dyDescent="0.3">
      <c r="A4" s="1" t="s">
        <v>13</v>
      </c>
      <c r="B4">
        <f>'Small Pricelist'!A3</f>
        <v>1404234</v>
      </c>
      <c r="C4" s="1" t="s">
        <v>14</v>
      </c>
      <c r="D4" t="str">
        <f>VLOOKUP(B4,'Small Pricelist'!A:L,2,0)</f>
        <v>SERVO PRIDE 40 - 4x5L - HDPE</v>
      </c>
      <c r="E4" s="1" t="s">
        <v>14</v>
      </c>
      <c r="F4">
        <f>VLOOKUP(B4,'Small Pricelist'!A:L,3,0)</f>
        <v>2000</v>
      </c>
      <c r="G4" s="1" t="s">
        <v>14</v>
      </c>
      <c r="H4">
        <f>VLOOKUP(B4,'Small Pricelist'!A:L,4,0)</f>
        <v>1623.4</v>
      </c>
      <c r="I4" s="1" t="s">
        <v>14</v>
      </c>
      <c r="J4">
        <f>VLOOKUP(B4,'Small Pricelist'!A:L,5,0)</f>
        <v>3</v>
      </c>
      <c r="K4" s="1" t="s">
        <v>14</v>
      </c>
      <c r="L4">
        <f>VLOOKUP(B4,'Small Pricelist'!A:L,6,0)</f>
        <v>0</v>
      </c>
      <c r="M4" s="1" t="s">
        <v>14</v>
      </c>
      <c r="N4">
        <f>VLOOKUP(B4,'Small Pricelist'!A:L,7,0)</f>
        <v>0</v>
      </c>
      <c r="O4" s="1" t="s">
        <v>14</v>
      </c>
      <c r="P4">
        <f>VLOOKUP(B4,'Small Pricelist'!A:L,8,0)</f>
        <v>1605.7000000000003</v>
      </c>
      <c r="Q4" s="1" t="s">
        <v>14</v>
      </c>
      <c r="R4">
        <f>VLOOKUP(B4,'Small Pricelist'!A:L,9,0)</f>
        <v>394.29999999999973</v>
      </c>
      <c r="S4" s="1" t="s">
        <v>14</v>
      </c>
      <c r="T4">
        <f>VLOOKUP(B4,'Small Pricelist'!A:L,10,0)</f>
        <v>78.859999999999957</v>
      </c>
      <c r="U4" s="1" t="s">
        <v>14</v>
      </c>
      <c r="V4">
        <f>VLOOKUP(B4,'Small Pricelist'!A:L,11,0)</f>
        <v>24.556268294201885</v>
      </c>
      <c r="W4" s="1" t="s">
        <v>14</v>
      </c>
      <c r="X4">
        <f>VLOOKUP(B4,'Small Pricelist'!A:L,12,0)</f>
        <v>6422.8000000000056</v>
      </c>
      <c r="Y4" s="1" t="s">
        <v>12</v>
      </c>
      <c r="Z4" s="25" t="str">
        <f t="shared" si="0"/>
        <v>&lt;tr&gt; &lt;td&gt;1404234&lt;/td&gt;&lt;td&gt;SERVO PRIDE 40 - 4x5L - HDPE&lt;/td&gt;&lt;td&gt;2000&lt;/td&gt;&lt;td&gt;1623.4&lt;/td&gt;&lt;td&gt;3&lt;/td&gt;&lt;td&gt;0&lt;/td&gt;&lt;td&gt;0&lt;/td&gt;&lt;td&gt;1605.7&lt;/td&gt;&lt;td&gt;394.3&lt;/td&gt;&lt;td&gt;78.86&lt;/td&gt;&lt;td&gt;24.5562682942019&lt;/td&gt;&lt;td&gt;6422.80000000001&lt;/td&gt;&lt;/tr&gt;</v>
      </c>
    </row>
    <row r="5" spans="1:26" x14ac:dyDescent="0.3">
      <c r="A5" s="1" t="s">
        <v>13</v>
      </c>
      <c r="B5">
        <f>'Small Pricelist'!A4</f>
        <v>1404242</v>
      </c>
      <c r="C5" s="1" t="s">
        <v>14</v>
      </c>
      <c r="D5" t="str">
        <f>VLOOKUP(B5,'Small Pricelist'!A:L,2,0)</f>
        <v>SERVO PRIDE 40 - 10L BUC</v>
      </c>
      <c r="E5" s="1" t="s">
        <v>14</v>
      </c>
      <c r="F5">
        <f>VLOOKUP(B5,'Small Pricelist'!A:L,3,0)</f>
        <v>4000</v>
      </c>
      <c r="G5" s="1" t="s">
        <v>14</v>
      </c>
      <c r="H5">
        <f>VLOOKUP(B5,'Small Pricelist'!A:L,4,0)</f>
        <v>3235.2</v>
      </c>
      <c r="I5" s="1" t="s">
        <v>14</v>
      </c>
      <c r="J5">
        <f>VLOOKUP(B5,'Small Pricelist'!A:L,5,0)</f>
        <v>3</v>
      </c>
      <c r="K5" s="1" t="s">
        <v>14</v>
      </c>
      <c r="L5">
        <f>VLOOKUP(B5,'Small Pricelist'!A:L,6,0)</f>
        <v>0</v>
      </c>
      <c r="M5" s="1" t="s">
        <v>14</v>
      </c>
      <c r="N5">
        <f>VLOOKUP(B5,'Small Pricelist'!A:L,7,0)</f>
        <v>0</v>
      </c>
      <c r="O5" s="1" t="s">
        <v>14</v>
      </c>
      <c r="P5">
        <f>VLOOKUP(B5,'Small Pricelist'!A:L,8,0)</f>
        <v>3199.8</v>
      </c>
      <c r="Q5" s="1" t="s">
        <v>14</v>
      </c>
      <c r="R5">
        <f>VLOOKUP(B5,'Small Pricelist'!A:L,9,0)</f>
        <v>800.19999999999982</v>
      </c>
      <c r="S5" s="1" t="s">
        <v>14</v>
      </c>
      <c r="T5">
        <f>VLOOKUP(B5,'Small Pricelist'!A:L,10,0)</f>
        <v>80.019999999999982</v>
      </c>
      <c r="U5" s="1" t="s">
        <v>14</v>
      </c>
      <c r="V5">
        <f>VLOOKUP(B5,'Small Pricelist'!A:L,11,0)</f>
        <v>25.007812988311763</v>
      </c>
      <c r="W5" s="1" t="s">
        <v>14</v>
      </c>
      <c r="X5">
        <f>VLOOKUP(B5,'Small Pricelist'!A:L,12,0)</f>
        <v>3199.8000000000015</v>
      </c>
      <c r="Y5" s="1" t="s">
        <v>12</v>
      </c>
      <c r="Z5" s="25" t="str">
        <f t="shared" si="0"/>
        <v>&lt;tr&gt; &lt;td&gt;1404242&lt;/td&gt;&lt;td&gt;SERVO PRIDE 40 - 10L BUC&lt;/td&gt;&lt;td&gt;4000&lt;/td&gt;&lt;td&gt;3235.2&lt;/td&gt;&lt;td&gt;3&lt;/td&gt;&lt;td&gt;0&lt;/td&gt;&lt;td&gt;0&lt;/td&gt;&lt;td&gt;3199.8&lt;/td&gt;&lt;td&gt;800.2&lt;/td&gt;&lt;td&gt;80.02&lt;/td&gt;&lt;td&gt;25.0078129883118&lt;/td&gt;&lt;td&gt;3199.8&lt;/td&gt;&lt;/tr&gt;</v>
      </c>
    </row>
    <row r="6" spans="1:26" x14ac:dyDescent="0.3">
      <c r="A6" s="1" t="s">
        <v>13</v>
      </c>
      <c r="B6">
        <f>'Small Pricelist'!A5</f>
        <v>1404265</v>
      </c>
      <c r="C6" s="1" t="s">
        <v>14</v>
      </c>
      <c r="D6" t="str">
        <f>VLOOKUP(B6,'Small Pricelist'!A:L,2,0)</f>
        <v>SERVO PRIDE 40-20L BUC</v>
      </c>
      <c r="E6" s="1" t="s">
        <v>14</v>
      </c>
      <c r="F6">
        <f>VLOOKUP(B6,'Small Pricelist'!A:L,3,0)</f>
        <v>7800</v>
      </c>
      <c r="G6" s="1" t="s">
        <v>14</v>
      </c>
      <c r="H6">
        <f>VLOOKUP(B6,'Small Pricelist'!A:L,4,0)</f>
        <v>6416.28</v>
      </c>
      <c r="I6" s="1" t="s">
        <v>14</v>
      </c>
      <c r="J6">
        <f>VLOOKUP(B6,'Small Pricelist'!A:L,5,0)</f>
        <v>3</v>
      </c>
      <c r="K6" s="1" t="s">
        <v>14</v>
      </c>
      <c r="L6">
        <f>VLOOKUP(B6,'Small Pricelist'!A:L,6,0)</f>
        <v>0</v>
      </c>
      <c r="M6" s="1" t="s">
        <v>14</v>
      </c>
      <c r="N6">
        <f>VLOOKUP(B6,'Small Pricelist'!A:L,7,0)</f>
        <v>0</v>
      </c>
      <c r="O6" s="1" t="s">
        <v>14</v>
      </c>
      <c r="P6">
        <f>VLOOKUP(B6,'Small Pricelist'!A:L,8,0)</f>
        <v>6345.48</v>
      </c>
      <c r="Q6" s="1" t="s">
        <v>14</v>
      </c>
      <c r="R6">
        <f>VLOOKUP(B6,'Small Pricelist'!A:L,9,0)</f>
        <v>1454.5200000000004</v>
      </c>
      <c r="S6" s="1" t="s">
        <v>14</v>
      </c>
      <c r="T6">
        <f>VLOOKUP(B6,'Small Pricelist'!A:L,10,0)</f>
        <v>72.725999999999999</v>
      </c>
      <c r="U6" s="1" t="s">
        <v>14</v>
      </c>
      <c r="V6">
        <f>VLOOKUP(B6,'Small Pricelist'!A:L,11,0)</f>
        <v>22.922143005730071</v>
      </c>
      <c r="W6" s="1" t="s">
        <v>14</v>
      </c>
      <c r="X6">
        <f>VLOOKUP(B6,'Small Pricelist'!A:L,12,0)</f>
        <v>6345.4800000000041</v>
      </c>
      <c r="Y6" s="1" t="s">
        <v>12</v>
      </c>
      <c r="Z6" s="25" t="str">
        <f t="shared" si="0"/>
        <v>&lt;tr&gt; &lt;td&gt;1404265&lt;/td&gt;&lt;td&gt;SERVO PRIDE 40-20L BUC&lt;/td&gt;&lt;td&gt;7800&lt;/td&gt;&lt;td&gt;6416.28&lt;/td&gt;&lt;td&gt;3&lt;/td&gt;&lt;td&gt;0&lt;/td&gt;&lt;td&gt;0&lt;/td&gt;&lt;td&gt;6345.48&lt;/td&gt;&lt;td&gt;1454.52&lt;/td&gt;&lt;td&gt;72.726&lt;/td&gt;&lt;td&gt;22.9221430057301&lt;/td&gt;&lt;td&gt;6345.48&lt;/td&gt;&lt;/tr&gt;</v>
      </c>
    </row>
    <row r="7" spans="1:26" x14ac:dyDescent="0.3">
      <c r="A7" s="1" t="s">
        <v>13</v>
      </c>
      <c r="B7">
        <f>'Small Pricelist'!A6</f>
        <v>2485254</v>
      </c>
      <c r="C7" s="1" t="s">
        <v>14</v>
      </c>
      <c r="D7" t="str">
        <f>VLOOKUP(B7,'Small Pricelist'!A:L,2,0)</f>
        <v>MAHINDRA EM REAR AXLE OIL-18 L</v>
      </c>
      <c r="E7" s="1" t="s">
        <v>14</v>
      </c>
      <c r="F7">
        <f>VLOOKUP(B7,'Small Pricelist'!A:L,3,0)</f>
        <v>7965</v>
      </c>
      <c r="G7" s="1" t="s">
        <v>14</v>
      </c>
      <c r="H7">
        <f>VLOOKUP(B7,'Small Pricelist'!A:L,4,0)</f>
        <v>7109.5590000000002</v>
      </c>
      <c r="I7" s="1" t="s">
        <v>14</v>
      </c>
      <c r="J7">
        <f>VLOOKUP(B7,'Small Pricelist'!A:L,5,0)</f>
        <v>0</v>
      </c>
      <c r="K7" s="1" t="s">
        <v>14</v>
      </c>
      <c r="L7">
        <f>VLOOKUP(B7,'Small Pricelist'!A:L,6,0)</f>
        <v>0</v>
      </c>
      <c r="M7" s="1" t="s">
        <v>14</v>
      </c>
      <c r="N7">
        <f>VLOOKUP(B7,'Small Pricelist'!A:L,7,0)</f>
        <v>0</v>
      </c>
      <c r="O7" s="1" t="s">
        <v>14</v>
      </c>
      <c r="P7">
        <f>VLOOKUP(B7,'Small Pricelist'!A:L,8,0)</f>
        <v>7109.5590000000002</v>
      </c>
      <c r="Q7" s="1" t="s">
        <v>14</v>
      </c>
      <c r="R7">
        <f>VLOOKUP(B7,'Small Pricelist'!A:L,9,0)</f>
        <v>855.4409999999998</v>
      </c>
      <c r="S7" s="1" t="s">
        <v>14</v>
      </c>
      <c r="T7">
        <f>VLOOKUP(B7,'Small Pricelist'!A:L,10,0)</f>
        <v>47.524499999999989</v>
      </c>
      <c r="U7" s="1" t="s">
        <v>14</v>
      </c>
      <c r="V7">
        <f>VLOOKUP(B7,'Small Pricelist'!A:L,11,0)</f>
        <v>12.03226529240421</v>
      </c>
      <c r="W7" s="1" t="s">
        <v>14</v>
      </c>
      <c r="X7">
        <f>VLOOKUP(B7,'Small Pricelist'!A:L,12,0)</f>
        <v>7109.5589999999984</v>
      </c>
      <c r="Y7" s="1" t="s">
        <v>12</v>
      </c>
      <c r="Z7" s="25" t="str">
        <f t="shared" si="0"/>
        <v>&lt;tr&gt; &lt;td&gt;2485254&lt;/td&gt;&lt;td&gt;MAHINDRA EM REAR AXLE OIL-18 L&lt;/td&gt;&lt;td&gt;7965&lt;/td&gt;&lt;td&gt;7109.559&lt;/td&gt;&lt;td&gt;0&lt;/td&gt;&lt;td&gt;0&lt;/td&gt;&lt;td&gt;0&lt;/td&gt;&lt;td&gt;7109.559&lt;/td&gt;&lt;td&gt;855.441&lt;/td&gt;&lt;td&gt;47.5245&lt;/td&gt;&lt;td&gt;12.0322652924042&lt;/td&gt;&lt;td&gt;7109.559&lt;/td&gt;&lt;/tr&gt;</v>
      </c>
    </row>
    <row r="8" spans="1:26" x14ac:dyDescent="0.3">
      <c r="A8" s="1" t="s">
        <v>13</v>
      </c>
      <c r="B8">
        <f>'Small Pricelist'!A7</f>
        <v>2502174</v>
      </c>
      <c r="C8" s="1" t="s">
        <v>14</v>
      </c>
      <c r="D8" t="str">
        <f>VLOOKUP(B8,'Small Pricelist'!A:L,2,0)</f>
        <v>SERVO GEAR HP 90-40X1/2L-HDPE</v>
      </c>
      <c r="E8" s="1" t="s">
        <v>14</v>
      </c>
      <c r="F8">
        <f>VLOOKUP(B8,'Small Pricelist'!A:L,3,0)</f>
        <v>208</v>
      </c>
      <c r="G8" s="1" t="s">
        <v>14</v>
      </c>
      <c r="H8">
        <f>VLOOKUP(B8,'Small Pricelist'!A:L,4,0)</f>
        <v>165.56799999999998</v>
      </c>
      <c r="I8" s="1" t="s">
        <v>14</v>
      </c>
      <c r="J8">
        <f>VLOOKUP(B8,'Small Pricelist'!A:L,5,0)</f>
        <v>9</v>
      </c>
      <c r="K8" s="1" t="s">
        <v>14</v>
      </c>
      <c r="L8">
        <f>VLOOKUP(B8,'Small Pricelist'!A:L,6,0)</f>
        <v>0</v>
      </c>
      <c r="M8" s="1" t="s">
        <v>14</v>
      </c>
      <c r="N8">
        <f>VLOOKUP(B8,'Small Pricelist'!A:L,7,0)</f>
        <v>0</v>
      </c>
      <c r="O8" s="1" t="s">
        <v>14</v>
      </c>
      <c r="P8">
        <f>VLOOKUP(B8,'Small Pricelist'!A:L,8,0)</f>
        <v>160.25799999999998</v>
      </c>
      <c r="Q8" s="1" t="s">
        <v>14</v>
      </c>
      <c r="R8">
        <f>VLOOKUP(B8,'Small Pricelist'!A:L,9,0)</f>
        <v>47.742000000000019</v>
      </c>
      <c r="S8" s="1" t="s">
        <v>14</v>
      </c>
      <c r="T8">
        <f>VLOOKUP(B8,'Small Pricelist'!A:L,10,0)</f>
        <v>95.484000000000037</v>
      </c>
      <c r="U8" s="1" t="s">
        <v>14</v>
      </c>
      <c r="V8">
        <f>VLOOKUP(B8,'Small Pricelist'!A:L,11,0)</f>
        <v>29.790712476132253</v>
      </c>
      <c r="W8" s="1" t="s">
        <v>14</v>
      </c>
      <c r="X8">
        <f>VLOOKUP(B8,'Small Pricelist'!A:L,12,0)</f>
        <v>6410.3200000000024</v>
      </c>
      <c r="Y8" s="1" t="s">
        <v>12</v>
      </c>
      <c r="Z8" s="25" t="str">
        <f t="shared" si="0"/>
        <v>&lt;tr&gt; &lt;td&gt;2502174&lt;/td&gt;&lt;td&gt;SERVO GEAR HP 90-40X1/2L-HDPE&lt;/td&gt;&lt;td&gt;208&lt;/td&gt;&lt;td&gt;165.568&lt;/td&gt;&lt;td&gt;9&lt;/td&gt;&lt;td&gt;0&lt;/td&gt;&lt;td&gt;0&lt;/td&gt;&lt;td&gt;160.258&lt;/td&gt;&lt;td&gt;47.742&lt;/td&gt;&lt;td&gt;95.484&lt;/td&gt;&lt;td&gt;29.7907124761323&lt;/td&gt;&lt;td&gt;6410.32&lt;/td&gt;&lt;/tr&gt;</v>
      </c>
    </row>
    <row r="9" spans="1:26" x14ac:dyDescent="0.3">
      <c r="A9" s="1" t="s">
        <v>13</v>
      </c>
      <c r="B9">
        <f>'Small Pricelist'!A8</f>
        <v>2502184</v>
      </c>
      <c r="C9" s="1" t="s">
        <v>14</v>
      </c>
      <c r="D9" t="str">
        <f>VLOOKUP(B9,'Small Pricelist'!A:L,2,0)</f>
        <v>SERVO GEAR HP 90-20X1L-HDPE</v>
      </c>
      <c r="E9" s="1" t="s">
        <v>14</v>
      </c>
      <c r="F9">
        <f>VLOOKUP(B9,'Small Pricelist'!A:L,3,0)</f>
        <v>370</v>
      </c>
      <c r="G9" s="1" t="s">
        <v>14</v>
      </c>
      <c r="H9">
        <f>VLOOKUP(B9,'Small Pricelist'!A:L,4,0)</f>
        <v>300.47699999999998</v>
      </c>
      <c r="I9" s="1" t="s">
        <v>14</v>
      </c>
      <c r="J9">
        <f>VLOOKUP(B9,'Small Pricelist'!A:L,5,0)</f>
        <v>19</v>
      </c>
      <c r="K9" s="1" t="s">
        <v>14</v>
      </c>
      <c r="L9">
        <f>VLOOKUP(B9,'Small Pricelist'!A:L,6,0)</f>
        <v>0</v>
      </c>
      <c r="M9" s="1" t="s">
        <v>14</v>
      </c>
      <c r="N9">
        <f>VLOOKUP(B9,'Small Pricelist'!A:L,7,0)</f>
        <v>0</v>
      </c>
      <c r="O9" s="1" t="s">
        <v>14</v>
      </c>
      <c r="P9">
        <f>VLOOKUP(B9,'Small Pricelist'!A:L,8,0)</f>
        <v>278.05699999999996</v>
      </c>
      <c r="Q9" s="1" t="s">
        <v>14</v>
      </c>
      <c r="R9">
        <f>VLOOKUP(B9,'Small Pricelist'!A:L,9,0)</f>
        <v>91.94300000000004</v>
      </c>
      <c r="S9" s="1" t="s">
        <v>14</v>
      </c>
      <c r="T9">
        <f>VLOOKUP(B9,'Small Pricelist'!A:L,10,0)</f>
        <v>91.94300000000004</v>
      </c>
      <c r="U9" s="1" t="s">
        <v>14</v>
      </c>
      <c r="V9">
        <f>VLOOKUP(B9,'Small Pricelist'!A:L,11,0)</f>
        <v>33.066241813728858</v>
      </c>
      <c r="W9" s="1" t="s">
        <v>14</v>
      </c>
      <c r="X9">
        <f>VLOOKUP(B9,'Small Pricelist'!A:L,12,0)</f>
        <v>5561.1400000000031</v>
      </c>
      <c r="Y9" s="1" t="s">
        <v>12</v>
      </c>
      <c r="Z9" s="25" t="str">
        <f t="shared" si="0"/>
        <v>&lt;tr&gt; &lt;td&gt;2502184&lt;/td&gt;&lt;td&gt;SERVO GEAR HP 90-20X1L-HDPE&lt;/td&gt;&lt;td&gt;370&lt;/td&gt;&lt;td&gt;300.477&lt;/td&gt;&lt;td&gt;19&lt;/td&gt;&lt;td&gt;0&lt;/td&gt;&lt;td&gt;0&lt;/td&gt;&lt;td&gt;278.057&lt;/td&gt;&lt;td&gt;91.943&lt;/td&gt;&lt;td&gt;91.943&lt;/td&gt;&lt;td&gt;33.0662418137289&lt;/td&gt;&lt;td&gt;5561.14&lt;/td&gt;&lt;/tr&gt;</v>
      </c>
    </row>
    <row r="10" spans="1:26" x14ac:dyDescent="0.3">
      <c r="A10" s="1" t="s">
        <v>13</v>
      </c>
      <c r="B10">
        <f>'Small Pricelist'!A9</f>
        <v>2502234</v>
      </c>
      <c r="C10" s="1" t="s">
        <v>14</v>
      </c>
      <c r="D10" t="str">
        <f>VLOOKUP(B10,'Small Pricelist'!A:L,2,0)</f>
        <v>SERVO GEAR HP 90 - 4x5L - HDPE</v>
      </c>
      <c r="E10" s="1" t="s">
        <v>14</v>
      </c>
      <c r="F10">
        <f>VLOOKUP(B10,'Small Pricelist'!A:L,3,0)</f>
        <v>1820</v>
      </c>
      <c r="G10" s="1" t="s">
        <v>14</v>
      </c>
      <c r="H10">
        <f>VLOOKUP(B10,'Small Pricelist'!A:L,4,0)</f>
        <v>1475.8380000000002</v>
      </c>
      <c r="I10" s="1" t="s">
        <v>14</v>
      </c>
      <c r="J10">
        <f>VLOOKUP(B10,'Small Pricelist'!A:L,5,0)</f>
        <v>19</v>
      </c>
      <c r="K10" s="1" t="s">
        <v>14</v>
      </c>
      <c r="L10">
        <f>VLOOKUP(B10,'Small Pricelist'!A:L,6,0)</f>
        <v>0</v>
      </c>
      <c r="M10" s="1" t="s">
        <v>14</v>
      </c>
      <c r="N10">
        <f>VLOOKUP(B10,'Small Pricelist'!A:L,7,0)</f>
        <v>0</v>
      </c>
      <c r="O10" s="1" t="s">
        <v>14</v>
      </c>
      <c r="P10">
        <f>VLOOKUP(B10,'Small Pricelist'!A:L,8,0)</f>
        <v>1363.7380000000003</v>
      </c>
      <c r="Q10" s="1" t="s">
        <v>14</v>
      </c>
      <c r="R10">
        <f>VLOOKUP(B10,'Small Pricelist'!A:L,9,0)</f>
        <v>456.26199999999972</v>
      </c>
      <c r="S10" s="1" t="s">
        <v>14</v>
      </c>
      <c r="T10">
        <f>VLOOKUP(B10,'Small Pricelist'!A:L,10,0)</f>
        <v>91.252399999999966</v>
      </c>
      <c r="U10" s="1" t="s">
        <v>14</v>
      </c>
      <c r="V10">
        <f>VLOOKUP(B10,'Small Pricelist'!A:L,11,0)</f>
        <v>33.456719692492229</v>
      </c>
      <c r="W10" s="1" t="s">
        <v>14</v>
      </c>
      <c r="X10">
        <f>VLOOKUP(B10,'Small Pricelist'!A:L,12,0)</f>
        <v>5454.9520000000048</v>
      </c>
      <c r="Y10" s="1" t="s">
        <v>12</v>
      </c>
      <c r="Z10" s="25" t="str">
        <f t="shared" si="0"/>
        <v>&lt;tr&gt; &lt;td&gt;2502234&lt;/td&gt;&lt;td&gt;SERVO GEAR HP 90 - 4x5L - HDPE&lt;/td&gt;&lt;td&gt;1820&lt;/td&gt;&lt;td&gt;1475.838&lt;/td&gt;&lt;td&gt;19&lt;/td&gt;&lt;td&gt;0&lt;/td&gt;&lt;td&gt;0&lt;/td&gt;&lt;td&gt;1363.738&lt;/td&gt;&lt;td&gt;456.262&lt;/td&gt;&lt;td&gt;91.2524&lt;/td&gt;&lt;td&gt;33.4567196924922&lt;/td&gt;&lt;td&gt;5454.952&lt;/td&gt;&lt;/tr&gt;</v>
      </c>
    </row>
    <row r="11" spans="1:26" x14ac:dyDescent="0.3">
      <c r="A11" s="1" t="s">
        <v>13</v>
      </c>
      <c r="B11">
        <f>'Small Pricelist'!A10</f>
        <v>2502265</v>
      </c>
      <c r="C11" s="1" t="s">
        <v>14</v>
      </c>
      <c r="D11" t="str">
        <f>VLOOKUP(B11,'Small Pricelist'!A:L,2,0)</f>
        <v>SERVO GEAR HP 90-20L BUC</v>
      </c>
      <c r="E11" s="1" t="s">
        <v>14</v>
      </c>
      <c r="F11">
        <f>VLOOKUP(B11,'Small Pricelist'!A:L,3,0)</f>
        <v>7730</v>
      </c>
      <c r="G11" s="1" t="s">
        <v>14</v>
      </c>
      <c r="H11">
        <f>VLOOKUP(B11,'Small Pricelist'!A:L,4,0)</f>
        <v>6309.9989999999989</v>
      </c>
      <c r="I11" s="1" t="s">
        <v>14</v>
      </c>
      <c r="J11">
        <f>VLOOKUP(B11,'Small Pricelist'!A:L,5,0)</f>
        <v>19</v>
      </c>
      <c r="K11" s="1" t="s">
        <v>14</v>
      </c>
      <c r="L11">
        <f>VLOOKUP(B11,'Small Pricelist'!A:L,6,0)</f>
        <v>0</v>
      </c>
      <c r="M11" s="1" t="s">
        <v>14</v>
      </c>
      <c r="N11">
        <f>VLOOKUP(B11,'Small Pricelist'!A:L,7,0)</f>
        <v>0</v>
      </c>
      <c r="O11" s="1" t="s">
        <v>14</v>
      </c>
      <c r="P11">
        <f>VLOOKUP(B11,'Small Pricelist'!A:L,8,0)</f>
        <v>5861.5989999999993</v>
      </c>
      <c r="Q11" s="1" t="s">
        <v>14</v>
      </c>
      <c r="R11">
        <f>VLOOKUP(B11,'Small Pricelist'!A:L,9,0)</f>
        <v>1868.4010000000007</v>
      </c>
      <c r="S11" s="1" t="s">
        <v>14</v>
      </c>
      <c r="T11">
        <f>VLOOKUP(B11,'Small Pricelist'!A:L,10,0)</f>
        <v>93.42005000000006</v>
      </c>
      <c r="U11" s="1" t="s">
        <v>14</v>
      </c>
      <c r="V11">
        <f>VLOOKUP(B11,'Small Pricelist'!A:L,11,0)</f>
        <v>31.875278400996059</v>
      </c>
      <c r="W11" s="1" t="s">
        <v>14</v>
      </c>
      <c r="X11">
        <f>VLOOKUP(B11,'Small Pricelist'!A:L,12,0)</f>
        <v>5861.5990000000029</v>
      </c>
      <c r="Y11" s="1" t="s">
        <v>12</v>
      </c>
      <c r="Z11" s="25" t="str">
        <f t="shared" si="0"/>
        <v>&lt;tr&gt; &lt;td&gt;2502265&lt;/td&gt;&lt;td&gt;SERVO GEAR HP 90-20L BUC&lt;/td&gt;&lt;td&gt;7730&lt;/td&gt;&lt;td&gt;6309.999&lt;/td&gt;&lt;td&gt;19&lt;/td&gt;&lt;td&gt;0&lt;/td&gt;&lt;td&gt;0&lt;/td&gt;&lt;td&gt;5861.599&lt;/td&gt;&lt;td&gt;1868.401&lt;/td&gt;&lt;td&gt;93.4200500000001&lt;/td&gt;&lt;td&gt;31.8752784009961&lt;/td&gt;&lt;td&gt;5861.599&lt;/td&gt;&lt;/tr&gt;</v>
      </c>
    </row>
    <row r="12" spans="1:26" x14ac:dyDescent="0.3">
      <c r="A12" s="1" t="s">
        <v>13</v>
      </c>
      <c r="B12">
        <f>'Small Pricelist'!A11</f>
        <v>2503184</v>
      </c>
      <c r="C12" s="1" t="s">
        <v>14</v>
      </c>
      <c r="D12" t="str">
        <f>VLOOKUP(B12,'Small Pricelist'!A:L,2,0)</f>
        <v>SERVO GEAR HP 140 - 20x1L - HDPE</v>
      </c>
      <c r="E12" s="1" t="s">
        <v>14</v>
      </c>
      <c r="F12">
        <f>VLOOKUP(B12,'Small Pricelist'!A:L,3,0)</f>
        <v>417</v>
      </c>
      <c r="G12" s="1" t="s">
        <v>14</v>
      </c>
      <c r="H12">
        <f>VLOOKUP(B12,'Small Pricelist'!A:L,4,0)</f>
        <v>336.64410000000004</v>
      </c>
      <c r="I12" s="1" t="s">
        <v>14</v>
      </c>
      <c r="J12">
        <f>VLOOKUP(B12,'Small Pricelist'!A:L,5,0)</f>
        <v>14</v>
      </c>
      <c r="K12" s="1" t="s">
        <v>14</v>
      </c>
      <c r="L12">
        <f>VLOOKUP(B12,'Small Pricelist'!A:L,6,0)</f>
        <v>0</v>
      </c>
      <c r="M12" s="1" t="s">
        <v>14</v>
      </c>
      <c r="N12">
        <f>VLOOKUP(B12,'Small Pricelist'!A:L,7,0)</f>
        <v>0</v>
      </c>
      <c r="O12" s="1" t="s">
        <v>14</v>
      </c>
      <c r="P12">
        <f>VLOOKUP(B12,'Small Pricelist'!A:L,8,0)</f>
        <v>320.1241</v>
      </c>
      <c r="Q12" s="1" t="s">
        <v>14</v>
      </c>
      <c r="R12">
        <f>VLOOKUP(B12,'Small Pricelist'!A:L,9,0)</f>
        <v>96.875900000000001</v>
      </c>
      <c r="S12" s="1" t="s">
        <v>14</v>
      </c>
      <c r="T12">
        <f>VLOOKUP(B12,'Small Pricelist'!A:L,10,0)</f>
        <v>96.875900000000001</v>
      </c>
      <c r="U12" s="1" t="s">
        <v>14</v>
      </c>
      <c r="V12">
        <f>VLOOKUP(B12,'Small Pricelist'!A:L,11,0)</f>
        <v>30.261982774805148</v>
      </c>
      <c r="W12" s="1" t="s">
        <v>14</v>
      </c>
      <c r="X12">
        <f>VLOOKUP(B12,'Small Pricelist'!A:L,12,0)</f>
        <v>6402.4820000000045</v>
      </c>
      <c r="Y12" s="1" t="s">
        <v>12</v>
      </c>
      <c r="Z12" s="25" t="str">
        <f t="shared" si="0"/>
        <v>&lt;tr&gt; &lt;td&gt;2503184&lt;/td&gt;&lt;td&gt;SERVO GEAR HP 140 - 20x1L - HDPE&lt;/td&gt;&lt;td&gt;417&lt;/td&gt;&lt;td&gt;336.6441&lt;/td&gt;&lt;td&gt;14&lt;/td&gt;&lt;td&gt;0&lt;/td&gt;&lt;td&gt;0&lt;/td&gt;&lt;td&gt;320.1241&lt;/td&gt;&lt;td&gt;96.8759&lt;/td&gt;&lt;td&gt;96.8759&lt;/td&gt;&lt;td&gt;30.2619827748051&lt;/td&gt;&lt;td&gt;6402.482&lt;/td&gt;&lt;/tr&gt;</v>
      </c>
    </row>
    <row r="13" spans="1:26" x14ac:dyDescent="0.3">
      <c r="A13" s="1" t="s">
        <v>13</v>
      </c>
      <c r="B13">
        <f>'Small Pricelist'!A12</f>
        <v>2503234</v>
      </c>
      <c r="C13" s="1" t="s">
        <v>14</v>
      </c>
      <c r="D13" t="str">
        <f>VLOOKUP(B13,'Small Pricelist'!A:L,2,0)</f>
        <v>SERVO GEAR HP 140 - 4x5L - HDPE</v>
      </c>
      <c r="E13" s="1" t="s">
        <v>14</v>
      </c>
      <c r="F13">
        <f>VLOOKUP(B13,'Small Pricelist'!A:L,3,0)</f>
        <v>2020</v>
      </c>
      <c r="G13" s="1" t="s">
        <v>14</v>
      </c>
      <c r="H13">
        <f>VLOOKUP(B13,'Small Pricelist'!A:L,4,0)</f>
        <v>1654.1779999999999</v>
      </c>
      <c r="I13" s="1" t="s">
        <v>14</v>
      </c>
      <c r="J13">
        <f>VLOOKUP(B13,'Small Pricelist'!A:L,5,0)</f>
        <v>14</v>
      </c>
      <c r="K13" s="1" t="s">
        <v>14</v>
      </c>
      <c r="L13">
        <f>VLOOKUP(B13,'Small Pricelist'!A:L,6,0)</f>
        <v>0</v>
      </c>
      <c r="M13" s="1" t="s">
        <v>14</v>
      </c>
      <c r="N13">
        <f>VLOOKUP(B13,'Small Pricelist'!A:L,7,0)</f>
        <v>0</v>
      </c>
      <c r="O13" s="1" t="s">
        <v>14</v>
      </c>
      <c r="P13">
        <f>VLOOKUP(B13,'Small Pricelist'!A:L,8,0)</f>
        <v>1571.578</v>
      </c>
      <c r="Q13" s="1" t="s">
        <v>14</v>
      </c>
      <c r="R13">
        <f>VLOOKUP(B13,'Small Pricelist'!A:L,9,0)</f>
        <v>448.42200000000003</v>
      </c>
      <c r="S13" s="1" t="s">
        <v>14</v>
      </c>
      <c r="T13">
        <f>VLOOKUP(B13,'Small Pricelist'!A:L,10,0)</f>
        <v>89.684399999999982</v>
      </c>
      <c r="U13" s="1" t="s">
        <v>14</v>
      </c>
      <c r="V13">
        <f>VLOOKUP(B13,'Small Pricelist'!A:L,11,0)</f>
        <v>28.533232203555919</v>
      </c>
      <c r="W13" s="1" t="s">
        <v>14</v>
      </c>
      <c r="X13">
        <f>VLOOKUP(B13,'Small Pricelist'!A:L,12,0)</f>
        <v>6286.3120000000044</v>
      </c>
      <c r="Y13" s="1" t="s">
        <v>12</v>
      </c>
      <c r="Z13" s="25" t="str">
        <f t="shared" si="0"/>
        <v>&lt;tr&gt; &lt;td&gt;2503234&lt;/td&gt;&lt;td&gt;SERVO GEAR HP 140 - 4x5L - HDPE&lt;/td&gt;&lt;td&gt;2020&lt;/td&gt;&lt;td&gt;1654.178&lt;/td&gt;&lt;td&gt;14&lt;/td&gt;&lt;td&gt;0&lt;/td&gt;&lt;td&gt;0&lt;/td&gt;&lt;td&gt;1571.578&lt;/td&gt;&lt;td&gt;448.422&lt;/td&gt;&lt;td&gt;89.6844&lt;/td&gt;&lt;td&gt;28.5332322035559&lt;/td&gt;&lt;td&gt;6286.312&lt;/td&gt;&lt;/tr&gt;</v>
      </c>
    </row>
    <row r="14" spans="1:26" x14ac:dyDescent="0.3">
      <c r="A14" s="1" t="s">
        <v>13</v>
      </c>
      <c r="B14">
        <f>'Small Pricelist'!A13</f>
        <v>2503265</v>
      </c>
      <c r="C14" s="1" t="s">
        <v>14</v>
      </c>
      <c r="D14" t="str">
        <f>VLOOKUP(B14,'Small Pricelist'!A:L,2,0)</f>
        <v>SERVO GEAR HP 140-20L BUC</v>
      </c>
      <c r="E14" s="1" t="s">
        <v>14</v>
      </c>
      <c r="F14">
        <f>VLOOKUP(B14,'Small Pricelist'!A:L,3,0)</f>
        <v>7440</v>
      </c>
      <c r="G14" s="1" t="s">
        <v>14</v>
      </c>
      <c r="H14">
        <f>VLOOKUP(B14,'Small Pricelist'!A:L,4,0)</f>
        <v>6056.9040000000005</v>
      </c>
      <c r="I14" s="1" t="s">
        <v>14</v>
      </c>
      <c r="J14">
        <f>VLOOKUP(B14,'Small Pricelist'!A:L,5,0)</f>
        <v>14</v>
      </c>
      <c r="K14" s="1" t="s">
        <v>14</v>
      </c>
      <c r="L14">
        <f>VLOOKUP(B14,'Small Pricelist'!A:L,6,0)</f>
        <v>0</v>
      </c>
      <c r="M14" s="1" t="s">
        <v>14</v>
      </c>
      <c r="N14">
        <f>VLOOKUP(B14,'Small Pricelist'!A:L,7,0)</f>
        <v>0</v>
      </c>
      <c r="O14" s="1" t="s">
        <v>14</v>
      </c>
      <c r="P14">
        <f>VLOOKUP(B14,'Small Pricelist'!A:L,8,0)</f>
        <v>5726.5039999999999</v>
      </c>
      <c r="Q14" s="1" t="s">
        <v>14</v>
      </c>
      <c r="R14">
        <f>VLOOKUP(B14,'Small Pricelist'!A:L,9,0)</f>
        <v>1713.4960000000001</v>
      </c>
      <c r="S14" s="1" t="s">
        <v>14</v>
      </c>
      <c r="T14">
        <f>VLOOKUP(B14,'Small Pricelist'!A:L,10,0)</f>
        <v>85.674800000000005</v>
      </c>
      <c r="U14" s="1" t="s">
        <v>14</v>
      </c>
      <c r="V14">
        <f>VLOOKUP(B14,'Small Pricelist'!A:L,11,0)</f>
        <v>29.92220035120905</v>
      </c>
      <c r="W14" s="1" t="s">
        <v>14</v>
      </c>
      <c r="X14">
        <f>VLOOKUP(B14,'Small Pricelist'!A:L,12,0)</f>
        <v>5726.5040000000035</v>
      </c>
      <c r="Y14" s="1" t="s">
        <v>12</v>
      </c>
      <c r="Z14" s="25" t="str">
        <f t="shared" si="0"/>
        <v>&lt;tr&gt; &lt;td&gt;2503265&lt;/td&gt;&lt;td&gt;SERVO GEAR HP 140-20L BUC&lt;/td&gt;&lt;td&gt;7440&lt;/td&gt;&lt;td&gt;6056.904&lt;/td&gt;&lt;td&gt;14&lt;/td&gt;&lt;td&gt;0&lt;/td&gt;&lt;td&gt;0&lt;/td&gt;&lt;td&gt;5726.504&lt;/td&gt;&lt;td&gt;1713.496&lt;/td&gt;&lt;td&gt;85.6748&lt;/td&gt;&lt;td&gt;29.922200351209&lt;/td&gt;&lt;td&gt;5726.504&lt;/td&gt;&lt;/tr&gt;</v>
      </c>
    </row>
    <row r="15" spans="1:26" x14ac:dyDescent="0.3">
      <c r="A15" s="1" t="s">
        <v>13</v>
      </c>
      <c r="B15">
        <f>'Small Pricelist'!A14</f>
        <v>2540199</v>
      </c>
      <c r="C15" s="1" t="s">
        <v>14</v>
      </c>
      <c r="D15" t="str">
        <f>VLOOKUP(B15,'Small Pricelist'!A:L,2,0)</f>
        <v>MGGO 80W-90 - 4 X 2.1 L</v>
      </c>
      <c r="E15" s="1" t="s">
        <v>14</v>
      </c>
      <c r="F15">
        <f>VLOOKUP(B15,'Small Pricelist'!A:L,3,0)</f>
        <v>750</v>
      </c>
      <c r="G15" s="1" t="s">
        <v>14</v>
      </c>
      <c r="H15">
        <f>VLOOKUP(B15,'Small Pricelist'!A:L,4,0)</f>
        <v>601.95000000000005</v>
      </c>
      <c r="I15" s="1" t="s">
        <v>14</v>
      </c>
      <c r="J15">
        <f>VLOOKUP(B15,'Small Pricelist'!A:L,5,0)</f>
        <v>0</v>
      </c>
      <c r="K15" s="1" t="s">
        <v>14</v>
      </c>
      <c r="L15">
        <f>VLOOKUP(B15,'Small Pricelist'!A:L,6,0)</f>
        <v>0</v>
      </c>
      <c r="M15" s="1" t="s">
        <v>14</v>
      </c>
      <c r="N15">
        <f>VLOOKUP(B15,'Small Pricelist'!A:L,7,0)</f>
        <v>0</v>
      </c>
      <c r="O15" s="1" t="s">
        <v>14</v>
      </c>
      <c r="P15">
        <f>VLOOKUP(B15,'Small Pricelist'!A:L,8,0)</f>
        <v>601.95000000000005</v>
      </c>
      <c r="Q15" s="1" t="s">
        <v>14</v>
      </c>
      <c r="R15">
        <f>VLOOKUP(B15,'Small Pricelist'!A:L,9,0)</f>
        <v>148.04999999999995</v>
      </c>
      <c r="S15" s="1" t="s">
        <v>14</v>
      </c>
      <c r="T15">
        <f>VLOOKUP(B15,'Small Pricelist'!A:L,10,0)</f>
        <v>70.499999999999943</v>
      </c>
      <c r="U15" s="1" t="s">
        <v>14</v>
      </c>
      <c r="V15">
        <f>VLOOKUP(B15,'Small Pricelist'!A:L,11,0)</f>
        <v>24.595066035384988</v>
      </c>
      <c r="W15" s="1" t="s">
        <v>14</v>
      </c>
      <c r="X15">
        <f>VLOOKUP(B15,'Small Pricelist'!A:L,12,0)</f>
        <v>2407.8000000000002</v>
      </c>
      <c r="Y15" s="1" t="s">
        <v>12</v>
      </c>
      <c r="Z15" s="25" t="str">
        <f t="shared" si="0"/>
        <v>&lt;tr&gt; &lt;td&gt;2540199&lt;/td&gt;&lt;td&gt;MGGO 80W-90 - 4 X 2.1 L&lt;/td&gt;&lt;td&gt;750&lt;/td&gt;&lt;td&gt;601.95&lt;/td&gt;&lt;td&gt;0&lt;/td&gt;&lt;td&gt;0&lt;/td&gt;&lt;td&gt;0&lt;/td&gt;&lt;td&gt;601.95&lt;/td&gt;&lt;td&gt;148.05&lt;/td&gt;&lt;td&gt;70.4999999999999&lt;/td&gt;&lt;td&gt;24.595066035385&lt;/td&gt;&lt;td&gt;2407.8&lt;/td&gt;&lt;/tr&gt;</v>
      </c>
    </row>
    <row r="16" spans="1:26" x14ac:dyDescent="0.3">
      <c r="A16" s="1" t="s">
        <v>13</v>
      </c>
      <c r="B16">
        <f>'Small Pricelist'!A15</f>
        <v>2557195</v>
      </c>
      <c r="C16" s="1" t="s">
        <v>14</v>
      </c>
      <c r="D16" t="str">
        <f>VLOOKUP(B16,'Small Pricelist'!A:L,2,0)</f>
        <v>HYUNDAI S.GEAR OIL 75W-85-4X2.5L-HDPE</v>
      </c>
      <c r="E16" s="1" t="s">
        <v>14</v>
      </c>
      <c r="F16">
        <f>VLOOKUP(B16,'Small Pricelist'!A:L,3,0)</f>
        <v>1050</v>
      </c>
      <c r="G16" s="1" t="s">
        <v>14</v>
      </c>
      <c r="H16">
        <f>VLOOKUP(B16,'Small Pricelist'!A:L,4,0)</f>
        <v>923.68499999999995</v>
      </c>
      <c r="I16" s="1" t="s">
        <v>14</v>
      </c>
      <c r="J16">
        <f>VLOOKUP(B16,'Small Pricelist'!A:L,5,0)</f>
        <v>0</v>
      </c>
      <c r="K16" s="1" t="s">
        <v>14</v>
      </c>
      <c r="L16">
        <f>VLOOKUP(B16,'Small Pricelist'!A:L,6,0)</f>
        <v>0</v>
      </c>
      <c r="M16" s="1" t="s">
        <v>14</v>
      </c>
      <c r="N16">
        <f>VLOOKUP(B16,'Small Pricelist'!A:L,7,0)</f>
        <v>0</v>
      </c>
      <c r="O16" s="1" t="s">
        <v>14</v>
      </c>
      <c r="P16">
        <f>VLOOKUP(B16,'Small Pricelist'!A:L,8,0)</f>
        <v>923.68500000000006</v>
      </c>
      <c r="Q16" s="1" t="s">
        <v>14</v>
      </c>
      <c r="R16">
        <f>VLOOKUP(B16,'Small Pricelist'!A:L,9,0)</f>
        <v>126.31499999999994</v>
      </c>
      <c r="S16" s="1" t="s">
        <v>14</v>
      </c>
      <c r="T16">
        <f>VLOOKUP(B16,'Small Pricelist'!A:L,10,0)</f>
        <v>50.525999999999954</v>
      </c>
      <c r="U16" s="1" t="s">
        <v>14</v>
      </c>
      <c r="V16">
        <f>VLOOKUP(B16,'Small Pricelist'!A:L,11,0)</f>
        <v>13.675116516994423</v>
      </c>
      <c r="W16" s="1" t="s">
        <v>14</v>
      </c>
      <c r="X16">
        <f>VLOOKUP(B16,'Small Pricelist'!A:L,12,0)</f>
        <v>3694.7400000000002</v>
      </c>
      <c r="Y16" s="1" t="s">
        <v>12</v>
      </c>
      <c r="Z16" s="25" t="str">
        <f t="shared" si="0"/>
        <v>&lt;tr&gt; &lt;td&gt;2557195&lt;/td&gt;&lt;td&gt;HYUNDAI S.GEAR OIL 75W-85-4X2.5L-HDPE&lt;/td&gt;&lt;td&gt;1050&lt;/td&gt;&lt;td&gt;923.685&lt;/td&gt;&lt;td&gt;0&lt;/td&gt;&lt;td&gt;0&lt;/td&gt;&lt;td&gt;0&lt;/td&gt;&lt;td&gt;923.685&lt;/td&gt;&lt;td&gt;126.315&lt;/td&gt;&lt;td&gt;50.526&lt;/td&gt;&lt;td&gt;13.6751165169944&lt;/td&gt;&lt;td&gt;3694.74&lt;/td&gt;&lt;/tr&gt;</v>
      </c>
    </row>
    <row r="17" spans="1:26" x14ac:dyDescent="0.3">
      <c r="A17" s="1" t="s">
        <v>13</v>
      </c>
      <c r="B17">
        <f>'Small Pricelist'!A16</f>
        <v>2586184</v>
      </c>
      <c r="C17" s="1" t="s">
        <v>14</v>
      </c>
      <c r="D17" t="str">
        <f>VLOOKUP(B17,'Small Pricelist'!A:L,2,0)</f>
        <v>SERVO MG R AXLE REDUCER FLUID-20 X 1 L</v>
      </c>
      <c r="E17" s="1" t="s">
        <v>14</v>
      </c>
      <c r="F17">
        <f>VLOOKUP(B17,'Small Pricelist'!A:L,3,0)</f>
        <v>990</v>
      </c>
      <c r="G17" s="1" t="s">
        <v>14</v>
      </c>
      <c r="H17">
        <f>VLOOKUP(B17,'Small Pricelist'!A:L,4,0)</f>
        <v>768.14100000000008</v>
      </c>
      <c r="I17" s="1" t="s">
        <v>14</v>
      </c>
      <c r="J17">
        <f>VLOOKUP(B17,'Small Pricelist'!A:L,5,0)</f>
        <v>0</v>
      </c>
      <c r="K17" s="1" t="s">
        <v>14</v>
      </c>
      <c r="L17">
        <f>VLOOKUP(B17,'Small Pricelist'!A:L,6,0)</f>
        <v>0</v>
      </c>
      <c r="M17" s="1" t="s">
        <v>14</v>
      </c>
      <c r="N17">
        <f>VLOOKUP(B17,'Small Pricelist'!A:L,7,0)</f>
        <v>0</v>
      </c>
      <c r="O17" s="1" t="s">
        <v>14</v>
      </c>
      <c r="P17">
        <f>VLOOKUP(B17,'Small Pricelist'!A:L,8,0)</f>
        <v>768.14100000000008</v>
      </c>
      <c r="Q17" s="1" t="s">
        <v>14</v>
      </c>
      <c r="R17">
        <f>VLOOKUP(B17,'Small Pricelist'!A:L,9,0)</f>
        <v>221.85899999999992</v>
      </c>
      <c r="S17" s="1" t="s">
        <v>14</v>
      </c>
      <c r="T17">
        <f>VLOOKUP(B17,'Small Pricelist'!A:L,10,0)</f>
        <v>221.85899999999992</v>
      </c>
      <c r="U17" s="1" t="s">
        <v>14</v>
      </c>
      <c r="V17">
        <f>VLOOKUP(B17,'Small Pricelist'!A:L,11,0)</f>
        <v>28.882587962366273</v>
      </c>
      <c r="W17" s="1" t="s">
        <v>14</v>
      </c>
      <c r="X17">
        <f>VLOOKUP(B17,'Small Pricelist'!A:L,12,0)</f>
        <v>15362.820000000012</v>
      </c>
      <c r="Y17" s="1" t="s">
        <v>12</v>
      </c>
      <c r="Z17" s="25" t="str">
        <f t="shared" si="0"/>
        <v>&lt;tr&gt; &lt;td&gt;2586184&lt;/td&gt;&lt;td&gt;SERVO MG R AXLE REDUCER FLUID-20 X 1 L&lt;/td&gt;&lt;td&gt;990&lt;/td&gt;&lt;td&gt;768.141&lt;/td&gt;&lt;td&gt;0&lt;/td&gt;&lt;td&gt;0&lt;/td&gt;&lt;td&gt;0&lt;/td&gt;&lt;td&gt;768.141&lt;/td&gt;&lt;td&gt;221.859&lt;/td&gt;&lt;td&gt;221.859&lt;/td&gt;&lt;td&gt;28.8825879623663&lt;/td&gt;&lt;td&gt;15362.82&lt;/td&gt;&lt;/tr&gt;</v>
      </c>
    </row>
    <row r="18" spans="1:26" x14ac:dyDescent="0.3">
      <c r="A18" s="1" t="s">
        <v>13</v>
      </c>
      <c r="B18">
        <f>'Small Pricelist'!A17</f>
        <v>2824152</v>
      </c>
      <c r="C18" s="1" t="s">
        <v>14</v>
      </c>
      <c r="D18" t="str">
        <f>VLOOKUP(B18,'Small Pricelist'!A:L,2,0)</f>
        <v>SERVO 4T GREEN-20 X 0.9 L</v>
      </c>
      <c r="E18" s="1" t="s">
        <v>14</v>
      </c>
      <c r="F18">
        <f>VLOOKUP(B18,'Small Pricelist'!A:L,3,0)</f>
        <v>364</v>
      </c>
      <c r="G18" s="1" t="s">
        <v>14</v>
      </c>
      <c r="H18">
        <f>VLOOKUP(B18,'Small Pricelist'!A:L,4,0)</f>
        <v>291.67320000000001</v>
      </c>
      <c r="I18" s="1" t="s">
        <v>14</v>
      </c>
      <c r="J18">
        <f>VLOOKUP(B18,'Small Pricelist'!A:L,5,0)</f>
        <v>24</v>
      </c>
      <c r="K18" s="1" t="s">
        <v>14</v>
      </c>
      <c r="L18">
        <f>VLOOKUP(B18,'Small Pricelist'!A:L,6,0)</f>
        <v>0</v>
      </c>
      <c r="M18" s="1" t="s">
        <v>14</v>
      </c>
      <c r="N18">
        <f>VLOOKUP(B18,'Small Pricelist'!A:L,7,0)</f>
        <v>0</v>
      </c>
      <c r="O18" s="1" t="s">
        <v>14</v>
      </c>
      <c r="P18">
        <f>VLOOKUP(B18,'Small Pricelist'!A:L,8,0)</f>
        <v>266.18520000000001</v>
      </c>
      <c r="Q18" s="1" t="s">
        <v>14</v>
      </c>
      <c r="R18">
        <f>VLOOKUP(B18,'Small Pricelist'!A:L,9,0)</f>
        <v>97.814799999999991</v>
      </c>
      <c r="S18" s="1" t="s">
        <v>14</v>
      </c>
      <c r="T18">
        <f>VLOOKUP(B18,'Small Pricelist'!A:L,10,0)</f>
        <v>108.68311111111115</v>
      </c>
      <c r="U18" s="1" t="s">
        <v>14</v>
      </c>
      <c r="V18">
        <f>VLOOKUP(B18,'Small Pricelist'!A:L,11,0)</f>
        <v>36.746896521669868</v>
      </c>
      <c r="W18" s="1" t="s">
        <v>14</v>
      </c>
      <c r="X18">
        <f>VLOOKUP(B18,'Small Pricelist'!A:L,12,0)</f>
        <v>5323.7039999999997</v>
      </c>
      <c r="Y18" s="1" t="s">
        <v>12</v>
      </c>
      <c r="Z18" s="25" t="str">
        <f t="shared" si="0"/>
        <v>&lt;tr&gt; &lt;td&gt;2824152&lt;/td&gt;&lt;td&gt;SERVO 4T GREEN-20 X 0.9 L&lt;/td&gt;&lt;td&gt;364&lt;/td&gt;&lt;td&gt;291.6732&lt;/td&gt;&lt;td&gt;24&lt;/td&gt;&lt;td&gt;0&lt;/td&gt;&lt;td&gt;0&lt;/td&gt;&lt;td&gt;266.1852&lt;/td&gt;&lt;td&gt;97.8148&lt;/td&gt;&lt;td&gt;108.683111111111&lt;/td&gt;&lt;td&gt;36.7468965216699&lt;/td&gt;&lt;td&gt;5323.704&lt;/td&gt;&lt;/tr&gt;</v>
      </c>
    </row>
    <row r="19" spans="1:26" x14ac:dyDescent="0.3">
      <c r="A19" s="1" t="s">
        <v>13</v>
      </c>
      <c r="B19">
        <f>'Small Pricelist'!A18</f>
        <v>2824184</v>
      </c>
      <c r="C19" s="1" t="s">
        <v>14</v>
      </c>
      <c r="D19" t="str">
        <f>VLOOKUP(B19,'Small Pricelist'!A:L,2,0)</f>
        <v>SERVO 4T GREEN-20 X 1 L</v>
      </c>
      <c r="E19" s="1" t="s">
        <v>14</v>
      </c>
      <c r="F19">
        <f>VLOOKUP(B19,'Small Pricelist'!A:L,3,0)</f>
        <v>403</v>
      </c>
      <c r="G19" s="1" t="s">
        <v>14</v>
      </c>
      <c r="H19">
        <f>VLOOKUP(B19,'Small Pricelist'!A:L,4,0)</f>
        <v>323.81049999999999</v>
      </c>
      <c r="I19" s="1" t="s">
        <v>14</v>
      </c>
      <c r="J19">
        <f>VLOOKUP(B19,'Small Pricelist'!A:L,5,0)</f>
        <v>30</v>
      </c>
      <c r="K19" s="1" t="s">
        <v>14</v>
      </c>
      <c r="L19">
        <f>VLOOKUP(B19,'Small Pricelist'!A:L,6,0)</f>
        <v>0</v>
      </c>
      <c r="M19" s="1" t="s">
        <v>14</v>
      </c>
      <c r="N19">
        <f>VLOOKUP(B19,'Small Pricelist'!A:L,7,0)</f>
        <v>0</v>
      </c>
      <c r="O19" s="1" t="s">
        <v>14</v>
      </c>
      <c r="P19">
        <f>VLOOKUP(B19,'Small Pricelist'!A:L,8,0)</f>
        <v>288.41050000000001</v>
      </c>
      <c r="Q19" s="1" t="s">
        <v>14</v>
      </c>
      <c r="R19">
        <f>VLOOKUP(B19,'Small Pricelist'!A:L,9,0)</f>
        <v>114.58949999999999</v>
      </c>
      <c r="S19" s="1" t="s">
        <v>14</v>
      </c>
      <c r="T19">
        <f>VLOOKUP(B19,'Small Pricelist'!A:L,10,0)</f>
        <v>114.58949999999999</v>
      </c>
      <c r="U19" s="1" t="s">
        <v>14</v>
      </c>
      <c r="V19">
        <f>VLOOKUP(B19,'Small Pricelist'!A:L,11,0)</f>
        <v>39.731389807236553</v>
      </c>
      <c r="W19" s="1" t="s">
        <v>14</v>
      </c>
      <c r="X19">
        <f>VLOOKUP(B19,'Small Pricelist'!A:L,12,0)</f>
        <v>5768.2100000000046</v>
      </c>
      <c r="Y19" s="1" t="s">
        <v>12</v>
      </c>
      <c r="Z19" s="25" t="str">
        <f t="shared" si="0"/>
        <v>&lt;tr&gt; &lt;td&gt;2824184&lt;/td&gt;&lt;td&gt;SERVO 4T GREEN-20 X 1 L&lt;/td&gt;&lt;td&gt;403&lt;/td&gt;&lt;td&gt;323.8105&lt;/td&gt;&lt;td&gt;30&lt;/td&gt;&lt;td&gt;0&lt;/td&gt;&lt;td&gt;0&lt;/td&gt;&lt;td&gt;288.4105&lt;/td&gt;&lt;td&gt;114.5895&lt;/td&gt;&lt;td&gt;114.5895&lt;/td&gt;&lt;td&gt;39.7313898072366&lt;/td&gt;&lt;td&gt;5768.21&lt;/td&gt;&lt;/tr&gt;</v>
      </c>
    </row>
    <row r="20" spans="1:26" x14ac:dyDescent="0.3">
      <c r="A20" s="1" t="s">
        <v>13</v>
      </c>
      <c r="B20">
        <f>'Small Pricelist'!A19</f>
        <v>2825022</v>
      </c>
      <c r="C20" s="1" t="s">
        <v>14</v>
      </c>
      <c r="D20" t="str">
        <f>VLOOKUP(B20,'Small Pricelist'!A:L,2,0)</f>
        <v>SERVO HYPERSPORT F5-10 X 1.2 L PROMO</v>
      </c>
      <c r="E20" s="1" t="s">
        <v>14</v>
      </c>
      <c r="F20">
        <f>VLOOKUP(B20,'Small Pricelist'!A:L,3,0)</f>
        <v>1108</v>
      </c>
      <c r="G20" s="1" t="s">
        <v>14</v>
      </c>
      <c r="H20">
        <f>VLOOKUP(B20,'Small Pricelist'!A:L,4,0)</f>
        <v>831.33240000000001</v>
      </c>
      <c r="I20" s="1" t="s">
        <v>14</v>
      </c>
      <c r="J20">
        <f>VLOOKUP(B20,'Small Pricelist'!A:L,5,0)</f>
        <v>45</v>
      </c>
      <c r="K20" s="1" t="s">
        <v>14</v>
      </c>
      <c r="L20">
        <f>VLOOKUP(B20,'Small Pricelist'!A:L,6,0)</f>
        <v>0</v>
      </c>
      <c r="M20" s="1" t="s">
        <v>14</v>
      </c>
      <c r="N20">
        <f>VLOOKUP(B20,'Small Pricelist'!A:L,7,0)</f>
        <v>0</v>
      </c>
      <c r="O20" s="1" t="s">
        <v>14</v>
      </c>
      <c r="P20">
        <f>VLOOKUP(B20,'Small Pricelist'!A:L,8,0)</f>
        <v>767.61239999999998</v>
      </c>
      <c r="Q20" s="1" t="s">
        <v>14</v>
      </c>
      <c r="R20">
        <f>VLOOKUP(B20,'Small Pricelist'!A:L,9,0)</f>
        <v>340.38760000000002</v>
      </c>
      <c r="S20" s="1" t="s">
        <v>14</v>
      </c>
      <c r="T20">
        <f>VLOOKUP(B20,'Small Pricelist'!A:L,10,0)</f>
        <v>283.65633333333335</v>
      </c>
      <c r="U20" s="1" t="s">
        <v>14</v>
      </c>
      <c r="V20">
        <f>VLOOKUP(B20,'Small Pricelist'!A:L,11,0)</f>
        <v>44.343681785234324</v>
      </c>
      <c r="W20" s="1" t="s">
        <v>14</v>
      </c>
      <c r="X20">
        <f>VLOOKUP(B20,'Small Pricelist'!A:L,12,0)</f>
        <v>7676.1239999999998</v>
      </c>
      <c r="Y20" s="1" t="s">
        <v>12</v>
      </c>
      <c r="Z20" s="25" t="str">
        <f t="shared" si="0"/>
        <v>&lt;tr&gt; &lt;td&gt;2825022&lt;/td&gt;&lt;td&gt;SERVO HYPERSPORT F5-10 X 1.2 L PROMO&lt;/td&gt;&lt;td&gt;1108&lt;/td&gt;&lt;td&gt;831.3324&lt;/td&gt;&lt;td&gt;45&lt;/td&gt;&lt;td&gt;0&lt;/td&gt;&lt;td&gt;0&lt;/td&gt;&lt;td&gt;767.6124&lt;/td&gt;&lt;td&gt;340.3876&lt;/td&gt;&lt;td&gt;283.656333333333&lt;/td&gt;&lt;td&gt;44.3436817852343&lt;/td&gt;&lt;td&gt;7676.124&lt;/td&gt;&lt;/tr&gt;</v>
      </c>
    </row>
    <row r="21" spans="1:26" x14ac:dyDescent="0.3">
      <c r="A21" s="1" t="s">
        <v>13</v>
      </c>
      <c r="B21">
        <f>'Small Pricelist'!A20</f>
        <v>2825030</v>
      </c>
      <c r="C21" s="1" t="s">
        <v>14</v>
      </c>
      <c r="D21" t="str">
        <f>VLOOKUP(B21,'Small Pricelist'!A:L,2,0)</f>
        <v>SERVO HYPERSPORT F5-4 X 2.8 L</v>
      </c>
      <c r="E21" s="1" t="s">
        <v>14</v>
      </c>
      <c r="F21">
        <f>VLOOKUP(B21,'Small Pricelist'!A:L,3,0)</f>
        <v>2576</v>
      </c>
      <c r="G21" s="1" t="s">
        <v>14</v>
      </c>
      <c r="H21">
        <f>VLOOKUP(B21,'Small Pricelist'!A:L,4,0)</f>
        <v>1933.0304000000001</v>
      </c>
      <c r="I21" s="1" t="s">
        <v>14</v>
      </c>
      <c r="J21">
        <f>VLOOKUP(B21,'Small Pricelist'!A:L,5,0)</f>
        <v>0</v>
      </c>
      <c r="K21" s="1" t="s">
        <v>14</v>
      </c>
      <c r="L21">
        <f>VLOOKUP(B21,'Small Pricelist'!A:L,6,0)</f>
        <v>0</v>
      </c>
      <c r="M21" s="1" t="s">
        <v>14</v>
      </c>
      <c r="N21">
        <f>VLOOKUP(B21,'Small Pricelist'!A:L,7,0)</f>
        <v>0</v>
      </c>
      <c r="O21" s="1" t="s">
        <v>14</v>
      </c>
      <c r="P21">
        <f>VLOOKUP(B21,'Small Pricelist'!A:L,8,0)</f>
        <v>1933.0304000000001</v>
      </c>
      <c r="Q21" s="1" t="s">
        <v>14</v>
      </c>
      <c r="R21">
        <f>VLOOKUP(B21,'Small Pricelist'!A:L,9,0)</f>
        <v>642.9695999999999</v>
      </c>
      <c r="S21" s="1" t="s">
        <v>14</v>
      </c>
      <c r="T21">
        <f>VLOOKUP(B21,'Small Pricelist'!A:L,10,0)</f>
        <v>229.63200000000006</v>
      </c>
      <c r="U21" s="1" t="s">
        <v>14</v>
      </c>
      <c r="V21">
        <f>VLOOKUP(B21,'Small Pricelist'!A:L,11,0)</f>
        <v>33.262260127931768</v>
      </c>
      <c r="W21" s="1" t="s">
        <v>14</v>
      </c>
      <c r="X21">
        <f>VLOOKUP(B21,'Small Pricelist'!A:L,12,0)</f>
        <v>7732.1216000000004</v>
      </c>
      <c r="Y21" s="1" t="s">
        <v>12</v>
      </c>
      <c r="Z21" s="25" t="str">
        <f t="shared" si="0"/>
        <v>&lt;tr&gt; &lt;td&gt;2825030&lt;/td&gt;&lt;td&gt;SERVO HYPERSPORT F5-4 X 2.8 L&lt;/td&gt;&lt;td&gt;2576&lt;/td&gt;&lt;td&gt;1933.0304&lt;/td&gt;&lt;td&gt;0&lt;/td&gt;&lt;td&gt;0&lt;/td&gt;&lt;td&gt;0&lt;/td&gt;&lt;td&gt;1933.0304&lt;/td&gt;&lt;td&gt;642.9696&lt;/td&gt;&lt;td&gt;229.632&lt;/td&gt;&lt;td&gt;33.2622601279318&lt;/td&gt;&lt;td&gt;7732.1216&lt;/td&gt;&lt;/tr&gt;</v>
      </c>
    </row>
    <row r="22" spans="1:26" x14ac:dyDescent="0.3">
      <c r="A22" s="1" t="s">
        <v>13</v>
      </c>
      <c r="B22">
        <f>'Small Pricelist'!A21</f>
        <v>2825185</v>
      </c>
      <c r="C22" s="1" t="s">
        <v>14</v>
      </c>
      <c r="D22" t="str">
        <f>VLOOKUP(B22,'Small Pricelist'!A:L,2,0)</f>
        <v>SERVO HYPERSPORT F5-10 X 1 L</v>
      </c>
      <c r="E22" s="1" t="s">
        <v>14</v>
      </c>
      <c r="F22">
        <f>VLOOKUP(B22,'Small Pricelist'!A:L,3,0)</f>
        <v>925</v>
      </c>
      <c r="G22" s="1" t="s">
        <v>14</v>
      </c>
      <c r="H22">
        <f>VLOOKUP(B22,'Small Pricelist'!A:L,4,0)</f>
        <v>694.02750000000003</v>
      </c>
      <c r="I22" s="1" t="s">
        <v>14</v>
      </c>
      <c r="J22">
        <f>VLOOKUP(B22,'Small Pricelist'!A:L,5,0)</f>
        <v>145</v>
      </c>
      <c r="K22" s="1" t="s">
        <v>14</v>
      </c>
      <c r="L22">
        <f>VLOOKUP(B22,'Small Pricelist'!A:L,6,0)</f>
        <v>0</v>
      </c>
      <c r="M22" s="1" t="s">
        <v>14</v>
      </c>
      <c r="N22">
        <f>VLOOKUP(B22,'Small Pricelist'!A:L,7,0)</f>
        <v>0</v>
      </c>
      <c r="O22" s="1" t="s">
        <v>14</v>
      </c>
      <c r="P22">
        <f>VLOOKUP(B22,'Small Pricelist'!A:L,8,0)</f>
        <v>522.92750000000001</v>
      </c>
      <c r="Q22" s="1" t="s">
        <v>14</v>
      </c>
      <c r="R22">
        <f>VLOOKUP(B22,'Small Pricelist'!A:L,9,0)</f>
        <v>402.07249999999999</v>
      </c>
      <c r="S22" s="1" t="s">
        <v>14</v>
      </c>
      <c r="T22">
        <f>VLOOKUP(B22,'Small Pricelist'!A:L,10,0)</f>
        <v>402.07249999999999</v>
      </c>
      <c r="U22" s="1" t="s">
        <v>14</v>
      </c>
      <c r="V22">
        <f>VLOOKUP(B22,'Small Pricelist'!A:L,11,0)</f>
        <v>76.888765651070173</v>
      </c>
      <c r="W22" s="1" t="s">
        <v>14</v>
      </c>
      <c r="X22">
        <f>VLOOKUP(B22,'Small Pricelist'!A:L,12,0)</f>
        <v>5229.2750000000033</v>
      </c>
      <c r="Y22" s="1" t="s">
        <v>12</v>
      </c>
      <c r="Z22" s="25" t="str">
        <f t="shared" si="0"/>
        <v>&lt;tr&gt; &lt;td&gt;2825185&lt;/td&gt;&lt;td&gt;SERVO HYPERSPORT F5-10 X 1 L&lt;/td&gt;&lt;td&gt;925&lt;/td&gt;&lt;td&gt;694.0275&lt;/td&gt;&lt;td&gt;145&lt;/td&gt;&lt;td&gt;0&lt;/td&gt;&lt;td&gt;0&lt;/td&gt;&lt;td&gt;522.9275&lt;/td&gt;&lt;td&gt;402.0725&lt;/td&gt;&lt;td&gt;402.0725&lt;/td&gt;&lt;td&gt;76.8887656510702&lt;/td&gt;&lt;td&gt;5229.275&lt;/td&gt;&lt;/tr&gt;</v>
      </c>
    </row>
    <row r="23" spans="1:26" x14ac:dyDescent="0.3">
      <c r="A23" s="1" t="s">
        <v>13</v>
      </c>
      <c r="B23">
        <f>'Small Pricelist'!A22</f>
        <v>2825195</v>
      </c>
      <c r="C23" s="1" t="s">
        <v>14</v>
      </c>
      <c r="D23" t="str">
        <f>VLOOKUP(B23,'Small Pricelist'!A:L,2,0)</f>
        <v>SERVO HYPERSPORT F5-4 X 2.5 L</v>
      </c>
      <c r="E23" s="1" t="s">
        <v>14</v>
      </c>
      <c r="F23">
        <f>VLOOKUP(B23,'Small Pricelist'!A:L,3,0)</f>
        <v>2303</v>
      </c>
      <c r="G23" s="1" t="s">
        <v>14</v>
      </c>
      <c r="H23">
        <f>VLOOKUP(B23,'Small Pricelist'!A:L,4,0)</f>
        <v>1727.7105999999999</v>
      </c>
      <c r="I23" s="1" t="s">
        <v>14</v>
      </c>
      <c r="J23">
        <f>VLOOKUP(B23,'Small Pricelist'!A:L,5,0)</f>
        <v>0</v>
      </c>
      <c r="K23" s="1" t="s">
        <v>14</v>
      </c>
      <c r="L23">
        <f>VLOOKUP(B23,'Small Pricelist'!A:L,6,0)</f>
        <v>0</v>
      </c>
      <c r="M23" s="1" t="s">
        <v>14</v>
      </c>
      <c r="N23">
        <f>VLOOKUP(B23,'Small Pricelist'!A:L,7,0)</f>
        <v>0</v>
      </c>
      <c r="O23" s="1" t="s">
        <v>14</v>
      </c>
      <c r="P23">
        <f>VLOOKUP(B23,'Small Pricelist'!A:L,8,0)</f>
        <v>1727.7105999999999</v>
      </c>
      <c r="Q23" s="1" t="s">
        <v>14</v>
      </c>
      <c r="R23">
        <f>VLOOKUP(B23,'Small Pricelist'!A:L,9,0)</f>
        <v>575.28940000000011</v>
      </c>
      <c r="S23" s="1" t="s">
        <v>14</v>
      </c>
      <c r="T23">
        <f>VLOOKUP(B23,'Small Pricelist'!A:L,10,0)</f>
        <v>230.11576000000014</v>
      </c>
      <c r="U23" s="1" t="s">
        <v>14</v>
      </c>
      <c r="V23">
        <f>VLOOKUP(B23,'Small Pricelist'!A:L,11,0)</f>
        <v>33.297787256731546</v>
      </c>
      <c r="W23" s="1" t="s">
        <v>14</v>
      </c>
      <c r="X23">
        <f>VLOOKUP(B23,'Small Pricelist'!A:L,12,0)</f>
        <v>6910.8423999999995</v>
      </c>
      <c r="Y23" s="1" t="s">
        <v>12</v>
      </c>
      <c r="Z23" s="25" t="str">
        <f t="shared" si="0"/>
        <v>&lt;tr&gt; &lt;td&gt;2825195&lt;/td&gt;&lt;td&gt;SERVO HYPERSPORT F5-4 X 2.5 L&lt;/td&gt;&lt;td&gt;2303&lt;/td&gt;&lt;td&gt;1727.7106&lt;/td&gt;&lt;td&gt;0&lt;/td&gt;&lt;td&gt;0&lt;/td&gt;&lt;td&gt;0&lt;/td&gt;&lt;td&gt;1727.7106&lt;/td&gt;&lt;td&gt;575.2894&lt;/td&gt;&lt;td&gt;230.11576&lt;/td&gt;&lt;td&gt;33.2977872567315&lt;/td&gt;&lt;td&gt;6910.8424&lt;/td&gt;&lt;/tr&gt;</v>
      </c>
    </row>
    <row r="24" spans="1:26" x14ac:dyDescent="0.3">
      <c r="A24" s="1" t="s">
        <v>13</v>
      </c>
      <c r="B24">
        <f>'Small Pricelist'!A23</f>
        <v>2825258</v>
      </c>
      <c r="C24" s="1" t="s">
        <v>14</v>
      </c>
      <c r="D24" t="str">
        <f>VLOOKUP(B24,'Small Pricelist'!A:L,2,0)</f>
        <v>SERVO HYPERSPORT F5-10 X 1 L PROMO</v>
      </c>
      <c r="E24" s="1" t="s">
        <v>14</v>
      </c>
      <c r="F24">
        <f>VLOOKUP(B24,'Small Pricelist'!A:L,3,0)</f>
        <v>925</v>
      </c>
      <c r="G24" s="1" t="s">
        <v>14</v>
      </c>
      <c r="H24">
        <f>VLOOKUP(B24,'Small Pricelist'!A:L,4,0)</f>
        <v>694.02750000000003</v>
      </c>
      <c r="I24" s="1" t="s">
        <v>14</v>
      </c>
      <c r="J24">
        <f>VLOOKUP(B24,'Small Pricelist'!A:L,5,0)</f>
        <v>45</v>
      </c>
      <c r="K24" s="1" t="s">
        <v>14</v>
      </c>
      <c r="L24">
        <f>VLOOKUP(B24,'Small Pricelist'!A:L,6,0)</f>
        <v>0</v>
      </c>
      <c r="M24" s="1" t="s">
        <v>14</v>
      </c>
      <c r="N24">
        <f>VLOOKUP(B24,'Small Pricelist'!A:L,7,0)</f>
        <v>0</v>
      </c>
      <c r="O24" s="1" t="s">
        <v>14</v>
      </c>
      <c r="P24">
        <f>VLOOKUP(B24,'Small Pricelist'!A:L,8,0)</f>
        <v>640.92750000000001</v>
      </c>
      <c r="Q24" s="1" t="s">
        <v>14</v>
      </c>
      <c r="R24">
        <f>VLOOKUP(B24,'Small Pricelist'!A:L,9,0)</f>
        <v>284.07249999999999</v>
      </c>
      <c r="S24" s="1" t="s">
        <v>14</v>
      </c>
      <c r="T24">
        <f>VLOOKUP(B24,'Small Pricelist'!A:L,10,0)</f>
        <v>284.07249999999999</v>
      </c>
      <c r="U24" s="1" t="s">
        <v>14</v>
      </c>
      <c r="V24">
        <f>VLOOKUP(B24,'Small Pricelist'!A:L,11,0)</f>
        <v>44.322095712853638</v>
      </c>
      <c r="W24" s="1" t="s">
        <v>14</v>
      </c>
      <c r="X24">
        <f>VLOOKUP(B24,'Small Pricelist'!A:L,12,0)</f>
        <v>6409.2749999999996</v>
      </c>
      <c r="Y24" s="1" t="s">
        <v>12</v>
      </c>
      <c r="Z24" s="25" t="str">
        <f t="shared" si="0"/>
        <v>&lt;tr&gt; &lt;td&gt;2825258&lt;/td&gt;&lt;td&gt;SERVO HYPERSPORT F5-10 X 1 L PROMO&lt;/td&gt;&lt;td&gt;925&lt;/td&gt;&lt;td&gt;694.0275&lt;/td&gt;&lt;td&gt;45&lt;/td&gt;&lt;td&gt;0&lt;/td&gt;&lt;td&gt;0&lt;/td&gt;&lt;td&gt;640.9275&lt;/td&gt;&lt;td&gt;284.0725&lt;/td&gt;&lt;td&gt;284.0725&lt;/td&gt;&lt;td&gt;44.3220957128536&lt;/td&gt;&lt;td&gt;6409.275&lt;/td&gt;&lt;/tr&gt;</v>
      </c>
    </row>
    <row r="25" spans="1:26" x14ac:dyDescent="0.3">
      <c r="A25" s="1" t="s">
        <v>13</v>
      </c>
      <c r="B25">
        <f>'Small Pricelist'!A24</f>
        <v>2828152</v>
      </c>
      <c r="C25" s="1" t="s">
        <v>14</v>
      </c>
      <c r="D25" t="str">
        <f>VLOOKUP(B25,'Small Pricelist'!A:L,2,0)</f>
        <v>SERVO 4T XTRA-20 X 0.9 L</v>
      </c>
      <c r="E25" s="1" t="s">
        <v>14</v>
      </c>
      <c r="F25">
        <f>VLOOKUP(B25,'Small Pricelist'!A:L,3,0)</f>
        <v>463</v>
      </c>
      <c r="G25" s="1" t="s">
        <v>14</v>
      </c>
      <c r="H25">
        <f>VLOOKUP(B25,'Small Pricelist'!A:L,4,0)</f>
        <v>356.55630000000002</v>
      </c>
      <c r="I25" s="1" t="s">
        <v>14</v>
      </c>
      <c r="J25">
        <f>VLOOKUP(B25,'Small Pricelist'!A:L,5,0)</f>
        <v>44</v>
      </c>
      <c r="K25" s="1" t="s">
        <v>14</v>
      </c>
      <c r="L25">
        <f>VLOOKUP(B25,'Small Pricelist'!A:L,6,0)</f>
        <v>0</v>
      </c>
      <c r="M25" s="1" t="s">
        <v>14</v>
      </c>
      <c r="N25">
        <f>VLOOKUP(B25,'Small Pricelist'!A:L,7,0)</f>
        <v>0</v>
      </c>
      <c r="O25" s="1" t="s">
        <v>14</v>
      </c>
      <c r="P25">
        <f>VLOOKUP(B25,'Small Pricelist'!A:L,8,0)</f>
        <v>309.82830000000001</v>
      </c>
      <c r="Q25" s="1" t="s">
        <v>14</v>
      </c>
      <c r="R25">
        <f>VLOOKUP(B25,'Small Pricelist'!A:L,9,0)</f>
        <v>153.17169999999999</v>
      </c>
      <c r="S25" s="1" t="s">
        <v>14</v>
      </c>
      <c r="T25">
        <f>VLOOKUP(B25,'Small Pricelist'!A:L,10,0)</f>
        <v>170.19077777777778</v>
      </c>
      <c r="U25" s="1" t="s">
        <v>14</v>
      </c>
      <c r="V25">
        <f>VLOOKUP(B25,'Small Pricelist'!A:L,11,0)</f>
        <v>49.437607862161073</v>
      </c>
      <c r="W25" s="1" t="s">
        <v>14</v>
      </c>
      <c r="X25">
        <f>VLOOKUP(B25,'Small Pricelist'!A:L,12,0)</f>
        <v>6196.5660000000007</v>
      </c>
      <c r="Y25" s="1" t="s">
        <v>12</v>
      </c>
      <c r="Z25" s="25" t="str">
        <f t="shared" si="0"/>
        <v>&lt;tr&gt; &lt;td&gt;2828152&lt;/td&gt;&lt;td&gt;SERVO 4T XTRA-20 X 0.9 L&lt;/td&gt;&lt;td&gt;463&lt;/td&gt;&lt;td&gt;356.5563&lt;/td&gt;&lt;td&gt;44&lt;/td&gt;&lt;td&gt;0&lt;/td&gt;&lt;td&gt;0&lt;/td&gt;&lt;td&gt;309.8283&lt;/td&gt;&lt;td&gt;153.1717&lt;/td&gt;&lt;td&gt;170.190777777778&lt;/td&gt;&lt;td&gt;49.4376078621611&lt;/td&gt;&lt;td&gt;6196.566&lt;/td&gt;&lt;/tr&gt;</v>
      </c>
    </row>
    <row r="26" spans="1:26" x14ac:dyDescent="0.3">
      <c r="A26" s="1" t="s">
        <v>13</v>
      </c>
      <c r="B26">
        <f>'Small Pricelist'!A25</f>
        <v>2828184</v>
      </c>
      <c r="C26" s="1" t="s">
        <v>14</v>
      </c>
      <c r="D26" t="str">
        <f>VLOOKUP(B26,'Small Pricelist'!A:L,2,0)</f>
        <v>SERVO 4T XTRA-20 X 1 L</v>
      </c>
      <c r="E26" s="1" t="s">
        <v>14</v>
      </c>
      <c r="F26">
        <f>VLOOKUP(B26,'Small Pricelist'!A:L,3,0)</f>
        <v>509</v>
      </c>
      <c r="G26" s="1" t="s">
        <v>14</v>
      </c>
      <c r="H26">
        <f>VLOOKUP(B26,'Small Pricelist'!A:L,4,0)</f>
        <v>392.74439999999993</v>
      </c>
      <c r="I26" s="1" t="s">
        <v>14</v>
      </c>
      <c r="J26">
        <f>VLOOKUP(B26,'Small Pricelist'!A:L,5,0)</f>
        <v>44</v>
      </c>
      <c r="K26" s="1" t="s">
        <v>14</v>
      </c>
      <c r="L26">
        <f>VLOOKUP(B26,'Small Pricelist'!A:L,6,0)</f>
        <v>0</v>
      </c>
      <c r="M26" s="1" t="s">
        <v>14</v>
      </c>
      <c r="N26">
        <f>VLOOKUP(B26,'Small Pricelist'!A:L,7,0)</f>
        <v>0</v>
      </c>
      <c r="O26" s="1" t="s">
        <v>14</v>
      </c>
      <c r="P26">
        <f>VLOOKUP(B26,'Small Pricelist'!A:L,8,0)</f>
        <v>340.82439999999997</v>
      </c>
      <c r="Q26" s="1" t="s">
        <v>14</v>
      </c>
      <c r="R26">
        <f>VLOOKUP(B26,'Small Pricelist'!A:L,9,0)</f>
        <v>168.17560000000003</v>
      </c>
      <c r="S26" s="1" t="s">
        <v>14</v>
      </c>
      <c r="T26">
        <f>VLOOKUP(B26,'Small Pricelist'!A:L,10,0)</f>
        <v>168.17560000000003</v>
      </c>
      <c r="U26" s="1" t="s">
        <v>14</v>
      </c>
      <c r="V26">
        <f>VLOOKUP(B26,'Small Pricelist'!A:L,11,0)</f>
        <v>49.343767641049183</v>
      </c>
      <c r="W26" s="1" t="s">
        <v>14</v>
      </c>
      <c r="X26">
        <f>VLOOKUP(B26,'Small Pricelist'!A:L,12,0)</f>
        <v>6816.4880000000039</v>
      </c>
      <c r="Y26" s="1" t="s">
        <v>12</v>
      </c>
      <c r="Z26" s="25" t="str">
        <f t="shared" si="0"/>
        <v>&lt;tr&gt; &lt;td&gt;2828184&lt;/td&gt;&lt;td&gt;SERVO 4T XTRA-20 X 1 L&lt;/td&gt;&lt;td&gt;509&lt;/td&gt;&lt;td&gt;392.7444&lt;/td&gt;&lt;td&gt;44&lt;/td&gt;&lt;td&gt;0&lt;/td&gt;&lt;td&gt;0&lt;/td&gt;&lt;td&gt;340.8244&lt;/td&gt;&lt;td&gt;168.1756&lt;/td&gt;&lt;td&gt;168.1756&lt;/td&gt;&lt;td&gt;49.3437676410492&lt;/td&gt;&lt;td&gt;6816.488&lt;/td&gt;&lt;/tr&gt;</v>
      </c>
    </row>
    <row r="27" spans="1:26" x14ac:dyDescent="0.3">
      <c r="A27" s="1" t="s">
        <v>13</v>
      </c>
      <c r="B27">
        <f>'Small Pricelist'!A26</f>
        <v>2828229</v>
      </c>
      <c r="C27" s="1" t="s">
        <v>14</v>
      </c>
      <c r="D27" t="str">
        <f>VLOOKUP(B27,'Small Pricelist'!A:L,2,0)</f>
        <v>SERVO 4T XTRA-20 X 1 L PROMO</v>
      </c>
      <c r="E27" s="1" t="s">
        <v>14</v>
      </c>
      <c r="F27">
        <f>VLOOKUP(B27,'Small Pricelist'!A:L,3,0)</f>
        <v>509</v>
      </c>
      <c r="G27" s="1" t="s">
        <v>14</v>
      </c>
      <c r="H27">
        <f>VLOOKUP(B27,'Small Pricelist'!A:L,4,0)</f>
        <v>392.74439999999993</v>
      </c>
      <c r="I27" s="1" t="s">
        <v>14</v>
      </c>
      <c r="J27">
        <f>VLOOKUP(B27,'Small Pricelist'!A:L,5,0)</f>
        <v>39</v>
      </c>
      <c r="K27" s="1" t="s">
        <v>14</v>
      </c>
      <c r="L27">
        <f>VLOOKUP(B27,'Small Pricelist'!A:L,6,0)</f>
        <v>0</v>
      </c>
      <c r="M27" s="1" t="s">
        <v>14</v>
      </c>
      <c r="N27">
        <f>VLOOKUP(B27,'Small Pricelist'!A:L,7,0)</f>
        <v>0</v>
      </c>
      <c r="O27" s="1" t="s">
        <v>14</v>
      </c>
      <c r="P27">
        <f>VLOOKUP(B27,'Small Pricelist'!A:L,8,0)</f>
        <v>346.72439999999995</v>
      </c>
      <c r="Q27" s="1" t="s">
        <v>14</v>
      </c>
      <c r="R27">
        <f>VLOOKUP(B27,'Small Pricelist'!A:L,9,0)</f>
        <v>162.27560000000005</v>
      </c>
      <c r="S27" s="1" t="s">
        <v>14</v>
      </c>
      <c r="T27">
        <f>VLOOKUP(B27,'Small Pricelist'!A:L,10,0)</f>
        <v>162.27560000000005</v>
      </c>
      <c r="U27" s="1" t="s">
        <v>14</v>
      </c>
      <c r="V27">
        <f>VLOOKUP(B27,'Small Pricelist'!A:L,11,0)</f>
        <v>46.802474818616766</v>
      </c>
      <c r="W27" s="1" t="s">
        <v>14</v>
      </c>
      <c r="X27">
        <f>VLOOKUP(B27,'Small Pricelist'!A:L,12,0)</f>
        <v>6934.4879999999994</v>
      </c>
      <c r="Y27" s="1" t="s">
        <v>12</v>
      </c>
      <c r="Z27" s="25" t="str">
        <f t="shared" si="0"/>
        <v>&lt;tr&gt; &lt;td&gt;2828229&lt;/td&gt;&lt;td&gt;SERVO 4T XTRA-20 X 1 L PROMO&lt;/td&gt;&lt;td&gt;509&lt;/td&gt;&lt;td&gt;392.7444&lt;/td&gt;&lt;td&gt;39&lt;/td&gt;&lt;td&gt;0&lt;/td&gt;&lt;td&gt;0&lt;/td&gt;&lt;td&gt;346.7244&lt;/td&gt;&lt;td&gt;162.2756&lt;/td&gt;&lt;td&gt;162.2756&lt;/td&gt;&lt;td&gt;46.8024748186168&lt;/td&gt;&lt;td&gt;6934.488&lt;/td&gt;&lt;/tr&gt;</v>
      </c>
    </row>
    <row r="28" spans="1:26" x14ac:dyDescent="0.3">
      <c r="A28" s="1" t="s">
        <v>13</v>
      </c>
      <c r="B28">
        <f>'Small Pricelist'!A27</f>
        <v>2828230</v>
      </c>
      <c r="C28" s="1" t="s">
        <v>14</v>
      </c>
      <c r="D28" t="str">
        <f>VLOOKUP(B28,'Small Pricelist'!A:L,2,0)</f>
        <v>SERVO 4T XTRA-20 X 0.9 L PROMO</v>
      </c>
      <c r="E28" s="1" t="s">
        <v>14</v>
      </c>
      <c r="F28">
        <f>VLOOKUP(B28,'Small Pricelist'!A:L,3,0)</f>
        <v>436</v>
      </c>
      <c r="G28" s="1" t="s">
        <v>14</v>
      </c>
      <c r="H28">
        <f>VLOOKUP(B28,'Small Pricelist'!A:L,4,0)</f>
        <v>335.7636</v>
      </c>
      <c r="I28" s="1" t="s">
        <v>14</v>
      </c>
      <c r="J28">
        <f>VLOOKUP(B28,'Small Pricelist'!A:L,5,0)</f>
        <v>39</v>
      </c>
      <c r="K28" s="1" t="s">
        <v>14</v>
      </c>
      <c r="L28">
        <f>VLOOKUP(B28,'Small Pricelist'!A:L,6,0)</f>
        <v>0</v>
      </c>
      <c r="M28" s="1" t="s">
        <v>14</v>
      </c>
      <c r="N28">
        <f>VLOOKUP(B28,'Small Pricelist'!A:L,7,0)</f>
        <v>0</v>
      </c>
      <c r="O28" s="1" t="s">
        <v>14</v>
      </c>
      <c r="P28">
        <f>VLOOKUP(B28,'Small Pricelist'!A:L,8,0)</f>
        <v>294.34559999999999</v>
      </c>
      <c r="Q28" s="1" t="s">
        <v>14</v>
      </c>
      <c r="R28">
        <f>VLOOKUP(B28,'Small Pricelist'!A:L,9,0)</f>
        <v>141.65440000000001</v>
      </c>
      <c r="S28" s="1" t="s">
        <v>14</v>
      </c>
      <c r="T28">
        <f>VLOOKUP(B28,'Small Pricelist'!A:L,10,0)</f>
        <v>157.39377777777781</v>
      </c>
      <c r="U28" s="1" t="s">
        <v>14</v>
      </c>
      <c r="V28">
        <f>VLOOKUP(B28,'Small Pricelist'!A:L,11,0)</f>
        <v>48.12519704728048</v>
      </c>
      <c r="W28" s="1" t="s">
        <v>14</v>
      </c>
      <c r="X28">
        <f>VLOOKUP(B28,'Small Pricelist'!A:L,12,0)</f>
        <v>5886.9120000000003</v>
      </c>
      <c r="Y28" s="1" t="s">
        <v>12</v>
      </c>
      <c r="Z28" s="25" t="str">
        <f t="shared" si="0"/>
        <v>&lt;tr&gt; &lt;td&gt;2828230&lt;/td&gt;&lt;td&gt;SERVO 4T XTRA-20 X 0.9 L PROMO&lt;/td&gt;&lt;td&gt;436&lt;/td&gt;&lt;td&gt;335.7636&lt;/td&gt;&lt;td&gt;39&lt;/td&gt;&lt;td&gt;0&lt;/td&gt;&lt;td&gt;0&lt;/td&gt;&lt;td&gt;294.3456&lt;/td&gt;&lt;td&gt;141.6544&lt;/td&gt;&lt;td&gt;157.393777777778&lt;/td&gt;&lt;td&gt;48.1251970472805&lt;/td&gt;&lt;td&gt;5886.912&lt;/td&gt;&lt;/tr&gt;</v>
      </c>
    </row>
    <row r="29" spans="1:26" x14ac:dyDescent="0.3">
      <c r="A29" s="1" t="s">
        <v>13</v>
      </c>
      <c r="B29">
        <f>'Small Pricelist'!A28</f>
        <v>2829152</v>
      </c>
      <c r="C29" s="1" t="s">
        <v>14</v>
      </c>
      <c r="D29" t="str">
        <f>VLOOKUP(B29,'Small Pricelist'!A:L,2,0)</f>
        <v>SERVO 4T XTRA 10W-30-20 X 0.9 L</v>
      </c>
      <c r="E29" s="1" t="s">
        <v>14</v>
      </c>
      <c r="F29">
        <f>VLOOKUP(B29,'Small Pricelist'!A:L,3,0)</f>
        <v>436</v>
      </c>
      <c r="G29" s="1" t="s">
        <v>14</v>
      </c>
      <c r="H29">
        <f>VLOOKUP(B29,'Small Pricelist'!A:L,4,0)</f>
        <v>335.7636</v>
      </c>
      <c r="I29" s="1" t="s">
        <v>14</v>
      </c>
      <c r="J29">
        <f>VLOOKUP(B29,'Small Pricelist'!A:L,5,0)</f>
        <v>44</v>
      </c>
      <c r="K29" s="1" t="s">
        <v>14</v>
      </c>
      <c r="L29">
        <f>VLOOKUP(B29,'Small Pricelist'!A:L,6,0)</f>
        <v>0</v>
      </c>
      <c r="M29" s="1" t="s">
        <v>14</v>
      </c>
      <c r="N29">
        <f>VLOOKUP(B29,'Small Pricelist'!A:L,7,0)</f>
        <v>0</v>
      </c>
      <c r="O29" s="1" t="s">
        <v>14</v>
      </c>
      <c r="P29">
        <f>VLOOKUP(B29,'Small Pricelist'!A:L,8,0)</f>
        <v>289.03559999999999</v>
      </c>
      <c r="Q29" s="1" t="s">
        <v>14</v>
      </c>
      <c r="R29">
        <f>VLOOKUP(B29,'Small Pricelist'!A:L,9,0)</f>
        <v>146.96440000000001</v>
      </c>
      <c r="S29" s="1" t="s">
        <v>14</v>
      </c>
      <c r="T29">
        <f>VLOOKUP(B29,'Small Pricelist'!A:L,10,0)</f>
        <v>163.29377777777779</v>
      </c>
      <c r="U29" s="1" t="s">
        <v>14</v>
      </c>
      <c r="V29">
        <f>VLOOKUP(B29,'Small Pricelist'!A:L,11,0)</f>
        <v>50.846470123403485</v>
      </c>
      <c r="W29" s="1" t="s">
        <v>14</v>
      </c>
      <c r="X29">
        <f>VLOOKUP(B29,'Small Pricelist'!A:L,12,0)</f>
        <v>5780.7119999999995</v>
      </c>
      <c r="Y29" s="1" t="s">
        <v>12</v>
      </c>
      <c r="Z29" s="25" t="str">
        <f t="shared" si="0"/>
        <v>&lt;tr&gt; &lt;td&gt;2829152&lt;/td&gt;&lt;td&gt;SERVO 4T XTRA 10W-30-20 X 0.9 L&lt;/td&gt;&lt;td&gt;436&lt;/td&gt;&lt;td&gt;335.7636&lt;/td&gt;&lt;td&gt;44&lt;/td&gt;&lt;td&gt;0&lt;/td&gt;&lt;td&gt;0&lt;/td&gt;&lt;td&gt;289.0356&lt;/td&gt;&lt;td&gt;146.9644&lt;/td&gt;&lt;td&gt;163.293777777778&lt;/td&gt;&lt;td&gt;50.8464701234035&lt;/td&gt;&lt;td&gt;5780.712&lt;/td&gt;&lt;/tr&gt;</v>
      </c>
    </row>
    <row r="30" spans="1:26" x14ac:dyDescent="0.3">
      <c r="A30" s="1" t="s">
        <v>13</v>
      </c>
      <c r="B30">
        <f>'Small Pricelist'!A29</f>
        <v>2829184</v>
      </c>
      <c r="C30" s="1" t="s">
        <v>14</v>
      </c>
      <c r="D30" t="str">
        <f>VLOOKUP(B30,'Small Pricelist'!A:L,2,0)</f>
        <v>SERVO 4T XTRA 10W-30-20 X 1 L</v>
      </c>
      <c r="E30" s="1" t="s">
        <v>14</v>
      </c>
      <c r="F30">
        <f>VLOOKUP(B30,'Small Pricelist'!A:L,3,0)</f>
        <v>509</v>
      </c>
      <c r="G30" s="1" t="s">
        <v>14</v>
      </c>
      <c r="H30">
        <f>VLOOKUP(B30,'Small Pricelist'!A:L,4,0)</f>
        <v>392.74439999999993</v>
      </c>
      <c r="I30" s="1" t="s">
        <v>14</v>
      </c>
      <c r="J30">
        <f>VLOOKUP(B30,'Small Pricelist'!A:L,5,0)</f>
        <v>44</v>
      </c>
      <c r="K30" s="1" t="s">
        <v>14</v>
      </c>
      <c r="L30">
        <f>VLOOKUP(B30,'Small Pricelist'!A:L,6,0)</f>
        <v>0</v>
      </c>
      <c r="M30" s="1" t="s">
        <v>14</v>
      </c>
      <c r="N30">
        <f>VLOOKUP(B30,'Small Pricelist'!A:L,7,0)</f>
        <v>0</v>
      </c>
      <c r="O30" s="1" t="s">
        <v>14</v>
      </c>
      <c r="P30">
        <f>VLOOKUP(B30,'Small Pricelist'!A:L,8,0)</f>
        <v>340.82439999999997</v>
      </c>
      <c r="Q30" s="1" t="s">
        <v>14</v>
      </c>
      <c r="R30">
        <f>VLOOKUP(B30,'Small Pricelist'!A:L,9,0)</f>
        <v>168.17560000000003</v>
      </c>
      <c r="S30" s="1" t="s">
        <v>14</v>
      </c>
      <c r="T30">
        <f>VLOOKUP(B30,'Small Pricelist'!A:L,10,0)</f>
        <v>168.17560000000003</v>
      </c>
      <c r="U30" s="1" t="s">
        <v>14</v>
      </c>
      <c r="V30">
        <f>VLOOKUP(B30,'Small Pricelist'!A:L,11,0)</f>
        <v>49.343767641049183</v>
      </c>
      <c r="W30" s="1" t="s">
        <v>14</v>
      </c>
      <c r="X30">
        <f>VLOOKUP(B30,'Small Pricelist'!A:L,12,0)</f>
        <v>6816.4880000000039</v>
      </c>
      <c r="Y30" s="1" t="s">
        <v>12</v>
      </c>
      <c r="Z30" s="25" t="str">
        <f t="shared" si="0"/>
        <v>&lt;tr&gt; &lt;td&gt;2829184&lt;/td&gt;&lt;td&gt;SERVO 4T XTRA 10W-30-20 X 1 L&lt;/td&gt;&lt;td&gt;509&lt;/td&gt;&lt;td&gt;392.7444&lt;/td&gt;&lt;td&gt;44&lt;/td&gt;&lt;td&gt;0&lt;/td&gt;&lt;td&gt;0&lt;/td&gt;&lt;td&gt;340.8244&lt;/td&gt;&lt;td&gt;168.1756&lt;/td&gt;&lt;td&gt;168.1756&lt;/td&gt;&lt;td&gt;49.3437676410492&lt;/td&gt;&lt;td&gt;6816.488&lt;/td&gt;&lt;/tr&gt;</v>
      </c>
    </row>
    <row r="31" spans="1:26" x14ac:dyDescent="0.3">
      <c r="A31" s="1" t="s">
        <v>13</v>
      </c>
      <c r="B31">
        <f>'Small Pricelist'!A30</f>
        <v>2829229</v>
      </c>
      <c r="C31" s="1" t="s">
        <v>14</v>
      </c>
      <c r="D31" t="str">
        <f>VLOOKUP(B31,'Small Pricelist'!A:L,2,0)</f>
        <v>SERVO 4T XTRA 10W-30-20 X 1 L PROMO</v>
      </c>
      <c r="E31" s="1" t="s">
        <v>14</v>
      </c>
      <c r="F31">
        <f>VLOOKUP(B31,'Small Pricelist'!A:L,3,0)</f>
        <v>509</v>
      </c>
      <c r="G31" s="1" t="s">
        <v>14</v>
      </c>
      <c r="H31">
        <f>VLOOKUP(B31,'Small Pricelist'!A:L,4,0)</f>
        <v>392.74439999999993</v>
      </c>
      <c r="I31" s="1" t="s">
        <v>14</v>
      </c>
      <c r="J31">
        <f>VLOOKUP(B31,'Small Pricelist'!A:L,5,0)</f>
        <v>39</v>
      </c>
      <c r="K31" s="1" t="s">
        <v>14</v>
      </c>
      <c r="L31">
        <f>VLOOKUP(B31,'Small Pricelist'!A:L,6,0)</f>
        <v>0</v>
      </c>
      <c r="M31" s="1" t="s">
        <v>14</v>
      </c>
      <c r="N31">
        <f>VLOOKUP(B31,'Small Pricelist'!A:L,7,0)</f>
        <v>0</v>
      </c>
      <c r="O31" s="1" t="s">
        <v>14</v>
      </c>
      <c r="P31">
        <f>VLOOKUP(B31,'Small Pricelist'!A:L,8,0)</f>
        <v>346.72439999999995</v>
      </c>
      <c r="Q31" s="1" t="s">
        <v>14</v>
      </c>
      <c r="R31">
        <f>VLOOKUP(B31,'Small Pricelist'!A:L,9,0)</f>
        <v>162.27560000000005</v>
      </c>
      <c r="S31" s="1" t="s">
        <v>14</v>
      </c>
      <c r="T31">
        <f>VLOOKUP(B31,'Small Pricelist'!A:L,10,0)</f>
        <v>162.27560000000005</v>
      </c>
      <c r="U31" s="1" t="s">
        <v>14</v>
      </c>
      <c r="V31">
        <f>VLOOKUP(B31,'Small Pricelist'!A:L,11,0)</f>
        <v>46.802474818616766</v>
      </c>
      <c r="W31" s="1" t="s">
        <v>14</v>
      </c>
      <c r="X31">
        <f>VLOOKUP(B31,'Small Pricelist'!A:L,12,0)</f>
        <v>6934.4879999999994</v>
      </c>
      <c r="Y31" s="1" t="s">
        <v>12</v>
      </c>
      <c r="Z31" s="25" t="str">
        <f t="shared" si="0"/>
        <v>&lt;tr&gt; &lt;td&gt;2829229&lt;/td&gt;&lt;td&gt;SERVO 4T XTRA 10W-30-20 X 1 L PROMO&lt;/td&gt;&lt;td&gt;509&lt;/td&gt;&lt;td&gt;392.7444&lt;/td&gt;&lt;td&gt;39&lt;/td&gt;&lt;td&gt;0&lt;/td&gt;&lt;td&gt;0&lt;/td&gt;&lt;td&gt;346.7244&lt;/td&gt;&lt;td&gt;162.2756&lt;/td&gt;&lt;td&gt;162.2756&lt;/td&gt;&lt;td&gt;46.8024748186168&lt;/td&gt;&lt;td&gt;6934.488&lt;/td&gt;&lt;/tr&gt;</v>
      </c>
    </row>
    <row r="32" spans="1:26" x14ac:dyDescent="0.3">
      <c r="A32" s="1" t="s">
        <v>13</v>
      </c>
      <c r="B32">
        <f>'Small Pricelist'!A31</f>
        <v>2829230</v>
      </c>
      <c r="C32" s="1" t="s">
        <v>14</v>
      </c>
      <c r="D32" t="str">
        <f>VLOOKUP(B32,'Small Pricelist'!A:L,2,0)</f>
        <v>SERVO 4T XTRA 10W-30-20 X 0.9 L PROMO</v>
      </c>
      <c r="E32" s="1" t="s">
        <v>14</v>
      </c>
      <c r="F32">
        <f>VLOOKUP(B32,'Small Pricelist'!A:L,3,0)</f>
        <v>463</v>
      </c>
      <c r="G32" s="1" t="s">
        <v>14</v>
      </c>
      <c r="H32">
        <f>VLOOKUP(B32,'Small Pricelist'!A:L,4,0)</f>
        <v>356.55630000000002</v>
      </c>
      <c r="I32" s="1" t="s">
        <v>14</v>
      </c>
      <c r="J32">
        <f>VLOOKUP(B32,'Small Pricelist'!A:L,5,0)</f>
        <v>39</v>
      </c>
      <c r="K32" s="1" t="s">
        <v>14</v>
      </c>
      <c r="L32">
        <f>VLOOKUP(B32,'Small Pricelist'!A:L,6,0)</f>
        <v>0</v>
      </c>
      <c r="M32" s="1" t="s">
        <v>14</v>
      </c>
      <c r="N32">
        <f>VLOOKUP(B32,'Small Pricelist'!A:L,7,0)</f>
        <v>0</v>
      </c>
      <c r="O32" s="1" t="s">
        <v>14</v>
      </c>
      <c r="P32">
        <f>VLOOKUP(B32,'Small Pricelist'!A:L,8,0)</f>
        <v>315.13830000000002</v>
      </c>
      <c r="Q32" s="1" t="s">
        <v>14</v>
      </c>
      <c r="R32">
        <f>VLOOKUP(B32,'Small Pricelist'!A:L,9,0)</f>
        <v>147.86169999999998</v>
      </c>
      <c r="S32" s="1" t="s">
        <v>14</v>
      </c>
      <c r="T32">
        <f>VLOOKUP(B32,'Small Pricelist'!A:L,10,0)</f>
        <v>164.29077777777781</v>
      </c>
      <c r="U32" s="1" t="s">
        <v>14</v>
      </c>
      <c r="V32">
        <f>VLOOKUP(B32,'Small Pricelist'!A:L,11,0)</f>
        <v>46.919622273776298</v>
      </c>
      <c r="W32" s="1" t="s">
        <v>14</v>
      </c>
      <c r="X32">
        <f>VLOOKUP(B32,'Small Pricelist'!A:L,12,0)</f>
        <v>6302.7660000000005</v>
      </c>
      <c r="Y32" s="1" t="s">
        <v>12</v>
      </c>
      <c r="Z32" s="25" t="str">
        <f t="shared" si="0"/>
        <v>&lt;tr&gt; &lt;td&gt;2829230&lt;/td&gt;&lt;td&gt;SERVO 4T XTRA 10W-30-20 X 0.9 L PROMO&lt;/td&gt;&lt;td&gt;463&lt;/td&gt;&lt;td&gt;356.5563&lt;/td&gt;&lt;td&gt;39&lt;/td&gt;&lt;td&gt;0&lt;/td&gt;&lt;td&gt;0&lt;/td&gt;&lt;td&gt;315.1383&lt;/td&gt;&lt;td&gt;147.8617&lt;/td&gt;&lt;td&gt;164.290777777778&lt;/td&gt;&lt;td&gt;46.9196222737763&lt;/td&gt;&lt;td&gt;6302.766&lt;/td&gt;&lt;/tr&gt;</v>
      </c>
    </row>
    <row r="33" spans="1:26" x14ac:dyDescent="0.3">
      <c r="A33" s="1" t="s">
        <v>13</v>
      </c>
      <c r="B33">
        <f>'Small Pricelist'!A32</f>
        <v>2830229</v>
      </c>
      <c r="C33" s="1" t="s">
        <v>14</v>
      </c>
      <c r="D33" t="str">
        <f>VLOOKUP(B33,'Small Pricelist'!A:L,2,0)</f>
        <v>SERVO 4T XTRA 20W-50-20 X 1 L PROMO</v>
      </c>
      <c r="E33" s="1" t="s">
        <v>14</v>
      </c>
      <c r="F33">
        <f>VLOOKUP(B33,'Small Pricelist'!A:L,3,0)</f>
        <v>509</v>
      </c>
      <c r="G33" s="1" t="s">
        <v>14</v>
      </c>
      <c r="H33">
        <f>VLOOKUP(B33,'Small Pricelist'!A:L,4,0)</f>
        <v>392.74439999999993</v>
      </c>
      <c r="I33" s="1" t="s">
        <v>14</v>
      </c>
      <c r="J33">
        <f>VLOOKUP(B33,'Small Pricelist'!A:L,5,0)</f>
        <v>39</v>
      </c>
      <c r="K33" s="1" t="s">
        <v>14</v>
      </c>
      <c r="L33">
        <f>VLOOKUP(B33,'Small Pricelist'!A:L,6,0)</f>
        <v>0</v>
      </c>
      <c r="M33" s="1" t="s">
        <v>14</v>
      </c>
      <c r="N33">
        <f>VLOOKUP(B33,'Small Pricelist'!A:L,7,0)</f>
        <v>0</v>
      </c>
      <c r="O33" s="1" t="s">
        <v>14</v>
      </c>
      <c r="P33">
        <f>VLOOKUP(B33,'Small Pricelist'!A:L,8,0)</f>
        <v>346.72439999999995</v>
      </c>
      <c r="Q33" s="1" t="s">
        <v>14</v>
      </c>
      <c r="R33">
        <f>VLOOKUP(B33,'Small Pricelist'!A:L,9,0)</f>
        <v>162.27560000000005</v>
      </c>
      <c r="S33" s="1" t="s">
        <v>14</v>
      </c>
      <c r="T33">
        <f>VLOOKUP(B33,'Small Pricelist'!A:L,10,0)</f>
        <v>162.27560000000005</v>
      </c>
      <c r="U33" s="1" t="s">
        <v>14</v>
      </c>
      <c r="V33">
        <f>VLOOKUP(B33,'Small Pricelist'!A:L,11,0)</f>
        <v>46.802474818616766</v>
      </c>
      <c r="W33" s="1" t="s">
        <v>14</v>
      </c>
      <c r="X33">
        <f>VLOOKUP(B33,'Small Pricelist'!A:L,12,0)</f>
        <v>6934.4879999999994</v>
      </c>
      <c r="Y33" s="1" t="s">
        <v>12</v>
      </c>
      <c r="Z33" s="25" t="str">
        <f t="shared" si="0"/>
        <v>&lt;tr&gt; &lt;td&gt;2830229&lt;/td&gt;&lt;td&gt;SERVO 4T XTRA 20W-50-20 X 1 L PROMO&lt;/td&gt;&lt;td&gt;509&lt;/td&gt;&lt;td&gt;392.7444&lt;/td&gt;&lt;td&gt;39&lt;/td&gt;&lt;td&gt;0&lt;/td&gt;&lt;td&gt;0&lt;/td&gt;&lt;td&gt;346.7244&lt;/td&gt;&lt;td&gt;162.2756&lt;/td&gt;&lt;td&gt;162.2756&lt;/td&gt;&lt;td&gt;46.8024748186168&lt;/td&gt;&lt;td&gt;6934.488&lt;/td&gt;&lt;/tr&gt;</v>
      </c>
    </row>
    <row r="34" spans="1:26" x14ac:dyDescent="0.3">
      <c r="A34" s="1" t="s">
        <v>13</v>
      </c>
      <c r="B34">
        <f>'Small Pricelist'!A33</f>
        <v>2830230</v>
      </c>
      <c r="C34" s="1" t="s">
        <v>14</v>
      </c>
      <c r="D34" t="str">
        <f>VLOOKUP(B34,'Small Pricelist'!A:L,2,0)</f>
        <v xml:space="preserve">SERVO 4T XTRA 20W-50-20 X 0.9 L PROMO </v>
      </c>
      <c r="E34" s="1" t="s">
        <v>14</v>
      </c>
      <c r="F34">
        <f>VLOOKUP(B34,'Small Pricelist'!A:L,3,0)</f>
        <v>463</v>
      </c>
      <c r="G34" s="1" t="s">
        <v>14</v>
      </c>
      <c r="H34">
        <f>VLOOKUP(B34,'Small Pricelist'!A:L,4,0)</f>
        <v>356.55630000000002</v>
      </c>
      <c r="I34" s="1" t="s">
        <v>14</v>
      </c>
      <c r="J34">
        <f>VLOOKUP(B34,'Small Pricelist'!A:L,5,0)</f>
        <v>39</v>
      </c>
      <c r="K34" s="1" t="s">
        <v>14</v>
      </c>
      <c r="L34">
        <f>VLOOKUP(B34,'Small Pricelist'!A:L,6,0)</f>
        <v>0</v>
      </c>
      <c r="M34" s="1" t="s">
        <v>14</v>
      </c>
      <c r="N34">
        <f>VLOOKUP(B34,'Small Pricelist'!A:L,7,0)</f>
        <v>0</v>
      </c>
      <c r="O34" s="1" t="s">
        <v>14</v>
      </c>
      <c r="P34">
        <f>VLOOKUP(B34,'Small Pricelist'!A:L,8,0)</f>
        <v>315.13830000000002</v>
      </c>
      <c r="Q34" s="1" t="s">
        <v>14</v>
      </c>
      <c r="R34">
        <f>VLOOKUP(B34,'Small Pricelist'!A:L,9,0)</f>
        <v>147.86169999999998</v>
      </c>
      <c r="S34" s="1" t="s">
        <v>14</v>
      </c>
      <c r="T34">
        <f>VLOOKUP(B34,'Small Pricelist'!A:L,10,0)</f>
        <v>164.29077777777781</v>
      </c>
      <c r="U34" s="1" t="s">
        <v>14</v>
      </c>
      <c r="V34">
        <f>VLOOKUP(B34,'Small Pricelist'!A:L,11,0)</f>
        <v>46.919622273776298</v>
      </c>
      <c r="W34" s="1" t="s">
        <v>14</v>
      </c>
      <c r="X34">
        <f>VLOOKUP(B34,'Small Pricelist'!A:L,12,0)</f>
        <v>6302.7660000000005</v>
      </c>
      <c r="Y34" s="1" t="s">
        <v>12</v>
      </c>
      <c r="Z34" s="25" t="str">
        <f t="shared" si="0"/>
        <v>&lt;tr&gt; &lt;td&gt;2830230&lt;/td&gt;&lt;td&gt;SERVO 4T XTRA 20W-50-20 X 0.9 L PROMO &lt;/td&gt;&lt;td&gt;463&lt;/td&gt;&lt;td&gt;356.5563&lt;/td&gt;&lt;td&gt;39&lt;/td&gt;&lt;td&gt;0&lt;/td&gt;&lt;td&gt;0&lt;/td&gt;&lt;td&gt;315.1383&lt;/td&gt;&lt;td&gt;147.8617&lt;/td&gt;&lt;td&gt;164.290777777778&lt;/td&gt;&lt;td&gt;46.9196222737763&lt;/td&gt;&lt;td&gt;6302.766&lt;/td&gt;&lt;/tr&gt;</v>
      </c>
    </row>
    <row r="35" spans="1:26" x14ac:dyDescent="0.3">
      <c r="A35" s="1" t="s">
        <v>13</v>
      </c>
      <c r="B35">
        <f>'Small Pricelist'!A34</f>
        <v>2874152</v>
      </c>
      <c r="C35" s="1" t="s">
        <v>14</v>
      </c>
      <c r="D35" t="str">
        <f>VLOOKUP(B35,'Small Pricelist'!A:L,2,0)</f>
        <v>SERVO ECO 4T-20 X 0.9 L</v>
      </c>
      <c r="E35" s="1" t="s">
        <v>14</v>
      </c>
      <c r="F35">
        <f>VLOOKUP(B35,'Small Pricelist'!A:L,3,0)</f>
        <v>346</v>
      </c>
      <c r="G35" s="1" t="s">
        <v>14</v>
      </c>
      <c r="H35">
        <f>VLOOKUP(B35,'Small Pricelist'!A:L,4,0)</f>
        <v>199.988</v>
      </c>
      <c r="I35" s="1" t="s">
        <v>14</v>
      </c>
      <c r="J35">
        <f>VLOOKUP(B35,'Small Pricelist'!A:L,5,0)</f>
        <v>0</v>
      </c>
      <c r="K35" s="1" t="s">
        <v>14</v>
      </c>
      <c r="L35">
        <f>VLOOKUP(B35,'Small Pricelist'!A:L,6,0)</f>
        <v>0</v>
      </c>
      <c r="M35" s="1" t="s">
        <v>14</v>
      </c>
      <c r="N35">
        <f>VLOOKUP(B35,'Small Pricelist'!A:L,7,0)</f>
        <v>0</v>
      </c>
      <c r="O35" s="1" t="s">
        <v>14</v>
      </c>
      <c r="P35">
        <f>VLOOKUP(B35,'Small Pricelist'!A:L,8,0)</f>
        <v>199.988</v>
      </c>
      <c r="Q35" s="1" t="s">
        <v>14</v>
      </c>
      <c r="R35">
        <f>VLOOKUP(B35,'Small Pricelist'!A:L,9,0)</f>
        <v>146.012</v>
      </c>
      <c r="S35" s="1" t="s">
        <v>14</v>
      </c>
      <c r="T35">
        <f>VLOOKUP(B35,'Small Pricelist'!A:L,10,0)</f>
        <v>162.23555555555558</v>
      </c>
      <c r="U35" s="1" t="s">
        <v>14</v>
      </c>
      <c r="V35">
        <f>VLOOKUP(B35,'Small Pricelist'!A:L,11,0)</f>
        <v>73.010380622837374</v>
      </c>
      <c r="W35" s="1" t="s">
        <v>14</v>
      </c>
      <c r="X35">
        <f>VLOOKUP(B35,'Small Pricelist'!A:L,12,0)</f>
        <v>3999.76</v>
      </c>
      <c r="Y35" s="1" t="s">
        <v>12</v>
      </c>
      <c r="Z35" s="25" t="str">
        <f t="shared" si="0"/>
        <v>&lt;tr&gt; &lt;td&gt;2874152&lt;/td&gt;&lt;td&gt;SERVO ECO 4T-20 X 0.9 L&lt;/td&gt;&lt;td&gt;346&lt;/td&gt;&lt;td&gt;199.988&lt;/td&gt;&lt;td&gt;0&lt;/td&gt;&lt;td&gt;0&lt;/td&gt;&lt;td&gt;0&lt;/td&gt;&lt;td&gt;199.988&lt;/td&gt;&lt;td&gt;146.012&lt;/td&gt;&lt;td&gt;162.235555555556&lt;/td&gt;&lt;td&gt;73.0103806228374&lt;/td&gt;&lt;td&gt;3999.76&lt;/td&gt;&lt;/tr&gt;</v>
      </c>
    </row>
    <row r="36" spans="1:26" x14ac:dyDescent="0.3">
      <c r="A36" s="1" t="s">
        <v>13</v>
      </c>
      <c r="B36">
        <f>'Small Pricelist'!A35</f>
        <v>2874184</v>
      </c>
      <c r="C36" s="1" t="s">
        <v>14</v>
      </c>
      <c r="D36" t="str">
        <f>VLOOKUP(B36,'Small Pricelist'!A:L,2,0)</f>
        <v>SERVO ECO 4T-20 X 1 L</v>
      </c>
      <c r="E36" s="1" t="s">
        <v>14</v>
      </c>
      <c r="F36">
        <f>VLOOKUP(B36,'Small Pricelist'!A:L,3,0)</f>
        <v>381</v>
      </c>
      <c r="G36" s="1" t="s">
        <v>14</v>
      </c>
      <c r="H36">
        <f>VLOOKUP(B36,'Small Pricelist'!A:L,4,0)</f>
        <v>222.19920000000002</v>
      </c>
      <c r="I36" s="1" t="s">
        <v>14</v>
      </c>
      <c r="J36">
        <f>VLOOKUP(B36,'Small Pricelist'!A:L,5,0)</f>
        <v>0</v>
      </c>
      <c r="K36" s="1" t="s">
        <v>14</v>
      </c>
      <c r="L36">
        <f>VLOOKUP(B36,'Small Pricelist'!A:L,6,0)</f>
        <v>0</v>
      </c>
      <c r="M36" s="1" t="s">
        <v>14</v>
      </c>
      <c r="N36">
        <f>VLOOKUP(B36,'Small Pricelist'!A:L,7,0)</f>
        <v>0</v>
      </c>
      <c r="O36" s="1" t="s">
        <v>14</v>
      </c>
      <c r="P36">
        <f>VLOOKUP(B36,'Small Pricelist'!A:L,8,0)</f>
        <v>222.19920000000002</v>
      </c>
      <c r="Q36" s="1" t="s">
        <v>14</v>
      </c>
      <c r="R36">
        <f>VLOOKUP(B36,'Small Pricelist'!A:L,9,0)</f>
        <v>158.80079999999998</v>
      </c>
      <c r="S36" s="1" t="s">
        <v>14</v>
      </c>
      <c r="T36">
        <f>VLOOKUP(B36,'Small Pricelist'!A:L,10,0)</f>
        <v>158.80079999999998</v>
      </c>
      <c r="U36" s="1" t="s">
        <v>14</v>
      </c>
      <c r="V36">
        <f>VLOOKUP(B36,'Small Pricelist'!A:L,11,0)</f>
        <v>71.467764060356643</v>
      </c>
      <c r="W36" s="1" t="s">
        <v>14</v>
      </c>
      <c r="X36">
        <f>VLOOKUP(B36,'Small Pricelist'!A:L,12,0)</f>
        <v>4443.9840000000031</v>
      </c>
      <c r="Y36" s="1" t="s">
        <v>12</v>
      </c>
      <c r="Z36" s="25" t="str">
        <f t="shared" si="0"/>
        <v>&lt;tr&gt; &lt;td&gt;2874184&lt;/td&gt;&lt;td&gt;SERVO ECO 4T-20 X 1 L&lt;/td&gt;&lt;td&gt;381&lt;/td&gt;&lt;td&gt;222.1992&lt;/td&gt;&lt;td&gt;0&lt;/td&gt;&lt;td&gt;0&lt;/td&gt;&lt;td&gt;0&lt;/td&gt;&lt;td&gt;222.1992&lt;/td&gt;&lt;td&gt;158.8008&lt;/td&gt;&lt;td&gt;158.8008&lt;/td&gt;&lt;td&gt;71.4677640603566&lt;/td&gt;&lt;td&gt;4443.984&lt;/td&gt;&lt;/tr&gt;</v>
      </c>
    </row>
    <row r="37" spans="1:26" x14ac:dyDescent="0.3">
      <c r="A37" s="1" t="s">
        <v>13</v>
      </c>
      <c r="B37">
        <f>'Small Pricelist'!A36</f>
        <v>2885036</v>
      </c>
      <c r="C37" s="1" t="s">
        <v>14</v>
      </c>
      <c r="D37" t="str">
        <f>VLOOKUP(B37,'Small Pricelist'!A:L,2,0)</f>
        <v>SERVO SCOOTOMATIC XTRA 5W-30 - 20 X 0.6 L</v>
      </c>
      <c r="E37" s="1" t="s">
        <v>14</v>
      </c>
      <c r="F37">
        <f>VLOOKUP(B37,'Small Pricelist'!A:L,3,0)</f>
        <v>367</v>
      </c>
      <c r="G37" s="1" t="s">
        <v>14</v>
      </c>
      <c r="H37">
        <f>VLOOKUP(B37,'Small Pricelist'!A:L,4,0)</f>
        <v>279.91090000000003</v>
      </c>
      <c r="I37" s="1" t="s">
        <v>14</v>
      </c>
      <c r="J37">
        <f>VLOOKUP(B37,'Small Pricelist'!A:L,5,0)</f>
        <v>50</v>
      </c>
      <c r="K37" s="1" t="s">
        <v>14</v>
      </c>
      <c r="L37">
        <f>VLOOKUP(B37,'Small Pricelist'!A:L,6,0)</f>
        <v>0</v>
      </c>
      <c r="M37" s="1" t="s">
        <v>14</v>
      </c>
      <c r="N37">
        <f>VLOOKUP(B37,'Small Pricelist'!A:L,7,0)</f>
        <v>0</v>
      </c>
      <c r="O37" s="1" t="s">
        <v>14</v>
      </c>
      <c r="P37">
        <f>VLOOKUP(B37,'Small Pricelist'!A:L,8,0)</f>
        <v>244.51090000000002</v>
      </c>
      <c r="Q37" s="1" t="s">
        <v>14</v>
      </c>
      <c r="R37">
        <f>VLOOKUP(B37,'Small Pricelist'!A:L,9,0)</f>
        <v>122.48909999999998</v>
      </c>
      <c r="S37" s="1" t="s">
        <v>14</v>
      </c>
      <c r="T37">
        <f>VLOOKUP(B37,'Small Pricelist'!A:L,10,0)</f>
        <v>204.14850000000001</v>
      </c>
      <c r="U37" s="1" t="s">
        <v>14</v>
      </c>
      <c r="V37">
        <f>VLOOKUP(B37,'Small Pricelist'!A:L,11,0)</f>
        <v>50.095558112133233</v>
      </c>
      <c r="W37" s="1" t="s">
        <v>14</v>
      </c>
      <c r="X37">
        <f>VLOOKUP(B37,'Small Pricelist'!A:L,12,0)</f>
        <v>4890.2180000000008</v>
      </c>
      <c r="Y37" s="1" t="s">
        <v>12</v>
      </c>
      <c r="Z37" s="25" t="str">
        <f t="shared" si="0"/>
        <v>&lt;tr&gt; &lt;td&gt;2885036&lt;/td&gt;&lt;td&gt;SERVO SCOOTOMATIC XTRA 5W-30 - 20 X 0.6 L&lt;/td&gt;&lt;td&gt;367&lt;/td&gt;&lt;td&gt;279.9109&lt;/td&gt;&lt;td&gt;50&lt;/td&gt;&lt;td&gt;0&lt;/td&gt;&lt;td&gt;0&lt;/td&gt;&lt;td&gt;244.5109&lt;/td&gt;&lt;td&gt;122.4891&lt;/td&gt;&lt;td&gt;204.1485&lt;/td&gt;&lt;td&gt;50.0955581121332&lt;/td&gt;&lt;td&gt;4890.218&lt;/td&gt;&lt;/tr&gt;</v>
      </c>
    </row>
    <row r="38" spans="1:26" x14ac:dyDescent="0.3">
      <c r="A38" s="1" t="s">
        <v>13</v>
      </c>
      <c r="B38">
        <f>'Small Pricelist'!A37</f>
        <v>2889156</v>
      </c>
      <c r="C38" s="1" t="s">
        <v>14</v>
      </c>
      <c r="D38" t="str">
        <f>VLOOKUP(B38,'Small Pricelist'!A:L,2,0)</f>
        <v>SERVO SCOOTOMATIC 4ST 10W-30-20 X 0.8 L</v>
      </c>
      <c r="E38" s="1" t="s">
        <v>14</v>
      </c>
      <c r="F38">
        <f>VLOOKUP(B38,'Small Pricelist'!A:L,3,0)</f>
        <v>378</v>
      </c>
      <c r="G38" s="1" t="s">
        <v>14</v>
      </c>
      <c r="H38">
        <f>VLOOKUP(B38,'Small Pricelist'!A:L,4,0)</f>
        <v>269.28719999999998</v>
      </c>
      <c r="I38" s="1" t="s">
        <v>14</v>
      </c>
      <c r="J38">
        <f>VLOOKUP(B38,'Small Pricelist'!A:L,5,0)</f>
        <v>35</v>
      </c>
      <c r="K38" s="1" t="s">
        <v>14</v>
      </c>
      <c r="L38">
        <f>VLOOKUP(B38,'Small Pricelist'!A:L,6,0)</f>
        <v>0</v>
      </c>
      <c r="M38" s="1" t="s">
        <v>14</v>
      </c>
      <c r="N38">
        <f>VLOOKUP(B38,'Small Pricelist'!A:L,7,0)</f>
        <v>0</v>
      </c>
      <c r="O38" s="1" t="s">
        <v>14</v>
      </c>
      <c r="P38">
        <f>VLOOKUP(B38,'Small Pricelist'!A:L,8,0)</f>
        <v>236.24719999999996</v>
      </c>
      <c r="Q38" s="1" t="s">
        <v>14</v>
      </c>
      <c r="R38">
        <f>VLOOKUP(B38,'Small Pricelist'!A:L,9,0)</f>
        <v>141.75280000000004</v>
      </c>
      <c r="S38" s="1" t="s">
        <v>14</v>
      </c>
      <c r="T38">
        <f>VLOOKUP(B38,'Small Pricelist'!A:L,10,0)</f>
        <v>177.19100000000009</v>
      </c>
      <c r="U38" s="1" t="s">
        <v>14</v>
      </c>
      <c r="V38">
        <f>VLOOKUP(B38,'Small Pricelist'!A:L,11,0)</f>
        <v>60.001896318771209</v>
      </c>
      <c r="W38" s="1" t="s">
        <v>14</v>
      </c>
      <c r="X38">
        <f>VLOOKUP(B38,'Small Pricelist'!A:L,12,0)</f>
        <v>4724.9439999999995</v>
      </c>
      <c r="Y38" s="1" t="s">
        <v>12</v>
      </c>
      <c r="Z38" s="25" t="str">
        <f t="shared" si="0"/>
        <v>&lt;tr&gt; &lt;td&gt;2889156&lt;/td&gt;&lt;td&gt;SERVO SCOOTOMATIC 4ST 10W-30-20 X 0.8 L&lt;/td&gt;&lt;td&gt;378&lt;/td&gt;&lt;td&gt;269.2872&lt;/td&gt;&lt;td&gt;35&lt;/td&gt;&lt;td&gt;0&lt;/td&gt;&lt;td&gt;0&lt;/td&gt;&lt;td&gt;236.2472&lt;/td&gt;&lt;td&gt;141.7528&lt;/td&gt;&lt;td&gt;177.191&lt;/td&gt;&lt;td&gt;60.0018963187712&lt;/td&gt;&lt;td&gt;4724.944&lt;/td&gt;&lt;/tr&gt;</v>
      </c>
    </row>
    <row r="39" spans="1:26" x14ac:dyDescent="0.3">
      <c r="A39" s="1" t="s">
        <v>13</v>
      </c>
      <c r="B39">
        <f>'Small Pricelist'!A38</f>
        <v>2896150</v>
      </c>
      <c r="C39" s="1" t="s">
        <v>14</v>
      </c>
      <c r="D39" t="str">
        <f>VLOOKUP(B39,'Small Pricelist'!A:L,2,0)</f>
        <v>TRU4 KRAAFT-10 X 0.9 L</v>
      </c>
      <c r="E39" s="1" t="s">
        <v>14</v>
      </c>
      <c r="F39">
        <f>VLOOKUP(B39,'Small Pricelist'!A:L,3,0)</f>
        <v>320</v>
      </c>
      <c r="G39" s="1" t="s">
        <v>14</v>
      </c>
      <c r="H39">
        <f>VLOOKUP(B39,'Small Pricelist'!A:L,4,0)</f>
        <v>250.01599999999999</v>
      </c>
      <c r="I39" s="1" t="s">
        <v>14</v>
      </c>
      <c r="J39">
        <f>VLOOKUP(B39,'Small Pricelist'!A:L,5,0)</f>
        <v>0</v>
      </c>
      <c r="K39" s="1" t="s">
        <v>14</v>
      </c>
      <c r="L39">
        <f>VLOOKUP(B39,'Small Pricelist'!A:L,6,0)</f>
        <v>0</v>
      </c>
      <c r="M39" s="1" t="s">
        <v>14</v>
      </c>
      <c r="N39">
        <f>VLOOKUP(B39,'Small Pricelist'!A:L,7,0)</f>
        <v>0</v>
      </c>
      <c r="O39" s="1" t="s">
        <v>14</v>
      </c>
      <c r="P39">
        <f>VLOOKUP(B39,'Small Pricelist'!A:L,8,0)</f>
        <v>250.01599999999999</v>
      </c>
      <c r="Q39" s="1" t="s">
        <v>14</v>
      </c>
      <c r="R39">
        <f>VLOOKUP(B39,'Small Pricelist'!A:L,9,0)</f>
        <v>69.984000000000009</v>
      </c>
      <c r="S39" s="1" t="s">
        <v>14</v>
      </c>
      <c r="T39">
        <f>VLOOKUP(B39,'Small Pricelist'!A:L,10,0)</f>
        <v>77.759999999999991</v>
      </c>
      <c r="U39" s="1" t="s">
        <v>14</v>
      </c>
      <c r="V39">
        <f>VLOOKUP(B39,'Small Pricelist'!A:L,11,0)</f>
        <v>27.991808524254452</v>
      </c>
      <c r="W39" s="1" t="s">
        <v>14</v>
      </c>
      <c r="X39">
        <f>VLOOKUP(B39,'Small Pricelist'!A:L,12,0)</f>
        <v>2500.16</v>
      </c>
      <c r="Y39" s="1" t="s">
        <v>12</v>
      </c>
      <c r="Z39" s="25" t="str">
        <f t="shared" si="0"/>
        <v>&lt;tr&gt; &lt;td&gt;2896150&lt;/td&gt;&lt;td&gt;TRU4 KRAAFT-10 X 0.9 L&lt;/td&gt;&lt;td&gt;320&lt;/td&gt;&lt;td&gt;250.016&lt;/td&gt;&lt;td&gt;0&lt;/td&gt;&lt;td&gt;0&lt;/td&gt;&lt;td&gt;0&lt;/td&gt;&lt;td&gt;250.016&lt;/td&gt;&lt;td&gt;69.984&lt;/td&gt;&lt;td&gt;77.76&lt;/td&gt;&lt;td&gt;27.9918085242545&lt;/td&gt;&lt;td&gt;2500.16&lt;/td&gt;&lt;/tr&gt;</v>
      </c>
    </row>
    <row r="40" spans="1:26" x14ac:dyDescent="0.3">
      <c r="A40" s="1" t="s">
        <v>13</v>
      </c>
      <c r="B40">
        <f>'Small Pricelist'!A39</f>
        <v>2896185</v>
      </c>
      <c r="C40" s="1" t="s">
        <v>14</v>
      </c>
      <c r="D40" t="str">
        <f>VLOOKUP(B40,'Small Pricelist'!A:L,2,0)</f>
        <v>TRU4 KRAAFT-10 X 1 L</v>
      </c>
      <c r="E40" s="1" t="s">
        <v>14</v>
      </c>
      <c r="F40">
        <f>VLOOKUP(B40,'Small Pricelist'!A:L,3,0)</f>
        <v>350</v>
      </c>
      <c r="G40" s="1" t="s">
        <v>14</v>
      </c>
      <c r="H40">
        <f>VLOOKUP(B40,'Small Pricelist'!A:L,4,0)</f>
        <v>274.99499999999995</v>
      </c>
      <c r="I40" s="1" t="s">
        <v>14</v>
      </c>
      <c r="J40">
        <f>VLOOKUP(B40,'Small Pricelist'!A:L,5,0)</f>
        <v>0</v>
      </c>
      <c r="K40" s="1" t="s">
        <v>14</v>
      </c>
      <c r="L40">
        <f>VLOOKUP(B40,'Small Pricelist'!A:L,6,0)</f>
        <v>0</v>
      </c>
      <c r="M40" s="1" t="s">
        <v>14</v>
      </c>
      <c r="N40">
        <f>VLOOKUP(B40,'Small Pricelist'!A:L,7,0)</f>
        <v>0</v>
      </c>
      <c r="O40" s="1" t="s">
        <v>14</v>
      </c>
      <c r="P40">
        <f>VLOOKUP(B40,'Small Pricelist'!A:L,8,0)</f>
        <v>274.99499999999995</v>
      </c>
      <c r="Q40" s="1" t="s">
        <v>14</v>
      </c>
      <c r="R40">
        <f>VLOOKUP(B40,'Small Pricelist'!A:L,9,0)</f>
        <v>75.005000000000052</v>
      </c>
      <c r="S40" s="1" t="s">
        <v>14</v>
      </c>
      <c r="T40">
        <f>VLOOKUP(B40,'Small Pricelist'!A:L,10,0)</f>
        <v>75.005000000000052</v>
      </c>
      <c r="U40" s="1" t="s">
        <v>14</v>
      </c>
      <c r="V40">
        <f>VLOOKUP(B40,'Small Pricelist'!A:L,11,0)</f>
        <v>27.275041364388468</v>
      </c>
      <c r="W40" s="1" t="s">
        <v>14</v>
      </c>
      <c r="X40">
        <f>VLOOKUP(B40,'Small Pricelist'!A:L,12,0)</f>
        <v>2749.9500000000007</v>
      </c>
      <c r="Y40" s="1" t="s">
        <v>12</v>
      </c>
      <c r="Z40" s="25" t="str">
        <f t="shared" si="0"/>
        <v>&lt;tr&gt; &lt;td&gt;2896185&lt;/td&gt;&lt;td&gt;TRU4 KRAAFT-10 X 1 L&lt;/td&gt;&lt;td&gt;350&lt;/td&gt;&lt;td&gt;274.995&lt;/td&gt;&lt;td&gt;0&lt;/td&gt;&lt;td&gt;0&lt;/td&gt;&lt;td&gt;0&lt;/td&gt;&lt;td&gt;274.995&lt;/td&gt;&lt;td&gt;75.0050000000001&lt;/td&gt;&lt;td&gt;75.0050000000001&lt;/td&gt;&lt;td&gt;27.2750413643885&lt;/td&gt;&lt;td&gt;2749.95&lt;/td&gt;&lt;/tr&gt;</v>
      </c>
    </row>
    <row r="41" spans="1:26" x14ac:dyDescent="0.3">
      <c r="A41" s="1" t="s">
        <v>13</v>
      </c>
      <c r="B41">
        <f>'Small Pricelist'!A40</f>
        <v>2900103</v>
      </c>
      <c r="C41" s="1" t="s">
        <v>14</v>
      </c>
      <c r="D41" t="str">
        <f>VLOOKUP(B41,'Small Pricelist'!A:L,2,0)</f>
        <v>SERVO 2T SUPREME-600 X 20 ML</v>
      </c>
      <c r="E41" s="1" t="s">
        <v>14</v>
      </c>
      <c r="F41">
        <f>VLOOKUP(B41,'Small Pricelist'!A:L,3,0)</f>
        <v>12.6</v>
      </c>
      <c r="G41" s="1" t="s">
        <v>14</v>
      </c>
      <c r="H41">
        <f>VLOOKUP(B41,'Small Pricelist'!A:L,4,0)</f>
        <v>7.8535799999999991</v>
      </c>
      <c r="I41" s="1" t="s">
        <v>14</v>
      </c>
      <c r="J41">
        <f>VLOOKUP(B41,'Small Pricelist'!A:L,5,0)</f>
        <v>0</v>
      </c>
      <c r="K41" s="1" t="s">
        <v>14</v>
      </c>
      <c r="L41">
        <f>VLOOKUP(B41,'Small Pricelist'!A:L,6,0)</f>
        <v>0</v>
      </c>
      <c r="M41" s="1" t="s">
        <v>14</v>
      </c>
      <c r="N41">
        <f>VLOOKUP(B41,'Small Pricelist'!A:L,7,0)</f>
        <v>0</v>
      </c>
      <c r="O41" s="1" t="s">
        <v>14</v>
      </c>
      <c r="P41">
        <f>VLOOKUP(B41,'Small Pricelist'!A:L,8,0)</f>
        <v>7.8535799999999991</v>
      </c>
      <c r="Q41" s="1" t="s">
        <v>14</v>
      </c>
      <c r="R41">
        <f>VLOOKUP(B41,'Small Pricelist'!A:L,9,0)</f>
        <v>4.7464200000000005</v>
      </c>
      <c r="S41" s="1" t="s">
        <v>14</v>
      </c>
      <c r="T41">
        <f>VLOOKUP(B41,'Small Pricelist'!A:L,10,0)</f>
        <v>237.32100000000003</v>
      </c>
      <c r="U41" s="1" t="s">
        <v>14</v>
      </c>
      <c r="V41">
        <f>VLOOKUP(B41,'Small Pricelist'!A:L,11,0)</f>
        <v>60.436386972565394</v>
      </c>
      <c r="W41" s="1" t="s">
        <v>14</v>
      </c>
      <c r="X41">
        <f>VLOOKUP(B41,'Small Pricelist'!A:L,12,0)</f>
        <v>4712.1480000000001</v>
      </c>
      <c r="Y41" s="1" t="s">
        <v>12</v>
      </c>
      <c r="Z41" s="25" t="str">
        <f t="shared" si="0"/>
        <v>&lt;tr&gt; &lt;td&gt;2900103&lt;/td&gt;&lt;td&gt;SERVO 2T SUPREME-600 X 20 ML&lt;/td&gt;&lt;td&gt;12.6&lt;/td&gt;&lt;td&gt;7.85358&lt;/td&gt;&lt;td&gt;0&lt;/td&gt;&lt;td&gt;0&lt;/td&gt;&lt;td&gt;0&lt;/td&gt;&lt;td&gt;7.85358&lt;/td&gt;&lt;td&gt;4.74642&lt;/td&gt;&lt;td&gt;237.321&lt;/td&gt;&lt;td&gt;60.4363869725654&lt;/td&gt;&lt;td&gt;4712.148&lt;/td&gt;&lt;/tr&gt;</v>
      </c>
    </row>
    <row r="42" spans="1:26" x14ac:dyDescent="0.3">
      <c r="A42" s="1" t="s">
        <v>13</v>
      </c>
      <c r="B42">
        <f>'Small Pricelist'!A41</f>
        <v>2900125</v>
      </c>
      <c r="C42" s="1" t="s">
        <v>14</v>
      </c>
      <c r="D42" t="str">
        <f>VLOOKUP(B42,'Small Pricelist'!A:L,2,0)</f>
        <v>SERVO 2T SUPREME(JFC)-300x40ML - POU</v>
      </c>
      <c r="E42" s="1" t="s">
        <v>14</v>
      </c>
      <c r="F42">
        <f>VLOOKUP(B42,'Small Pricelist'!A:L,3,0)</f>
        <v>20.2</v>
      </c>
      <c r="G42" s="1" t="s">
        <v>14</v>
      </c>
      <c r="H42">
        <f>VLOOKUP(B42,'Small Pricelist'!A:L,4,0)</f>
        <v>14.578340000000001</v>
      </c>
      <c r="I42" s="1" t="s">
        <v>14</v>
      </c>
      <c r="J42">
        <f>VLOOKUP(B42,'Small Pricelist'!A:L,5,0)</f>
        <v>0</v>
      </c>
      <c r="K42" s="1" t="s">
        <v>14</v>
      </c>
      <c r="L42">
        <f>VLOOKUP(B42,'Small Pricelist'!A:L,6,0)</f>
        <v>0</v>
      </c>
      <c r="M42" s="1" t="s">
        <v>14</v>
      </c>
      <c r="N42">
        <f>VLOOKUP(B42,'Small Pricelist'!A:L,7,0)</f>
        <v>0</v>
      </c>
      <c r="O42" s="1" t="s">
        <v>14</v>
      </c>
      <c r="P42">
        <f>VLOOKUP(B42,'Small Pricelist'!A:L,8,0)</f>
        <v>14.578340000000001</v>
      </c>
      <c r="Q42" s="1" t="s">
        <v>14</v>
      </c>
      <c r="R42">
        <f>VLOOKUP(B42,'Small Pricelist'!A:L,9,0)</f>
        <v>5.6216599999999985</v>
      </c>
      <c r="S42" s="1" t="s">
        <v>14</v>
      </c>
      <c r="T42">
        <f>VLOOKUP(B42,'Small Pricelist'!A:L,10,0)</f>
        <v>140.54149999999998</v>
      </c>
      <c r="U42" s="1" t="s">
        <v>14</v>
      </c>
      <c r="V42">
        <f>VLOOKUP(B42,'Small Pricelist'!A:L,11,0)</f>
        <v>38.561729250381035</v>
      </c>
      <c r="W42" s="1" t="s">
        <v>14</v>
      </c>
      <c r="X42">
        <f>VLOOKUP(B42,'Small Pricelist'!A:L,12,0)</f>
        <v>4373.5020000000004</v>
      </c>
      <c r="Y42" s="1" t="s">
        <v>12</v>
      </c>
      <c r="Z42" s="25" t="str">
        <f t="shared" si="0"/>
        <v>&lt;tr&gt; &lt;td&gt;2900125&lt;/td&gt;&lt;td&gt;SERVO 2T SUPREME(JFC)-300x40ML - POU&lt;/td&gt;&lt;td&gt;20.2&lt;/td&gt;&lt;td&gt;14.57834&lt;/td&gt;&lt;td&gt;0&lt;/td&gt;&lt;td&gt;0&lt;/td&gt;&lt;td&gt;0&lt;/td&gt;&lt;td&gt;14.57834&lt;/td&gt;&lt;td&gt;5.62166&lt;/td&gt;&lt;td&gt;140.5415&lt;/td&gt;&lt;td&gt;38.561729250381&lt;/td&gt;&lt;td&gt;4373.502&lt;/td&gt;&lt;/tr&gt;</v>
      </c>
    </row>
    <row r="43" spans="1:26" x14ac:dyDescent="0.3">
      <c r="A43" s="1" t="s">
        <v>13</v>
      </c>
      <c r="B43">
        <f>'Small Pricelist'!A42</f>
        <v>2900145</v>
      </c>
      <c r="C43" s="1" t="s">
        <v>14</v>
      </c>
      <c r="D43" t="str">
        <f>VLOOKUP(B43,'Small Pricelist'!A:L,2,0)</f>
        <v>SERVO 2T SUPREME (JFC) - 200X60ML - POU</v>
      </c>
      <c r="E43" s="1" t="s">
        <v>14</v>
      </c>
      <c r="F43">
        <f>VLOOKUP(B43,'Small Pricelist'!A:L,3,0)</f>
        <v>25.8</v>
      </c>
      <c r="G43" s="1" t="s">
        <v>14</v>
      </c>
      <c r="H43">
        <f>VLOOKUP(B43,'Small Pricelist'!A:L,4,0)</f>
        <v>20.823179999999997</v>
      </c>
      <c r="I43" s="1" t="s">
        <v>14</v>
      </c>
      <c r="J43">
        <f>VLOOKUP(B43,'Small Pricelist'!A:L,5,0)</f>
        <v>0</v>
      </c>
      <c r="K43" s="1" t="s">
        <v>14</v>
      </c>
      <c r="L43">
        <f>VLOOKUP(B43,'Small Pricelist'!A:L,6,0)</f>
        <v>0</v>
      </c>
      <c r="M43" s="1" t="s">
        <v>14</v>
      </c>
      <c r="N43">
        <f>VLOOKUP(B43,'Small Pricelist'!A:L,7,0)</f>
        <v>0</v>
      </c>
      <c r="O43" s="1" t="s">
        <v>14</v>
      </c>
      <c r="P43">
        <f>VLOOKUP(B43,'Small Pricelist'!A:L,8,0)</f>
        <v>20.823179999999997</v>
      </c>
      <c r="Q43" s="1" t="s">
        <v>14</v>
      </c>
      <c r="R43">
        <f>VLOOKUP(B43,'Small Pricelist'!A:L,9,0)</f>
        <v>4.9768200000000036</v>
      </c>
      <c r="S43" s="1" t="s">
        <v>14</v>
      </c>
      <c r="T43">
        <f>VLOOKUP(B43,'Small Pricelist'!A:L,10,0)</f>
        <v>82.94700000000006</v>
      </c>
      <c r="U43" s="1" t="s">
        <v>14</v>
      </c>
      <c r="V43">
        <f>VLOOKUP(B43,'Small Pricelist'!A:L,11,0)</f>
        <v>23.900384091190706</v>
      </c>
      <c r="W43" s="1" t="s">
        <v>14</v>
      </c>
      <c r="X43">
        <f>VLOOKUP(B43,'Small Pricelist'!A:L,12,0)</f>
        <v>4164.6359999999995</v>
      </c>
      <c r="Y43" s="1" t="s">
        <v>12</v>
      </c>
      <c r="Z43" s="25" t="str">
        <f t="shared" si="0"/>
        <v>&lt;tr&gt; &lt;td&gt;2900145&lt;/td&gt;&lt;td&gt;SERVO 2T SUPREME (JFC) - 200X60ML - POU&lt;/td&gt;&lt;td&gt;25.8&lt;/td&gt;&lt;td&gt;20.82318&lt;/td&gt;&lt;td&gt;0&lt;/td&gt;&lt;td&gt;0&lt;/td&gt;&lt;td&gt;0&lt;/td&gt;&lt;td&gt;20.82318&lt;/td&gt;&lt;td&gt;4.97682&lt;/td&gt;&lt;td&gt;82.9470000000001&lt;/td&gt;&lt;td&gt;23.9003840911907&lt;/td&gt;&lt;td&gt;4164.636&lt;/td&gt;&lt;/tr&gt;</v>
      </c>
    </row>
    <row r="44" spans="1:26" x14ac:dyDescent="0.3">
      <c r="A44" s="1" t="s">
        <v>13</v>
      </c>
      <c r="B44">
        <f>'Small Pricelist'!A43</f>
        <v>2900165</v>
      </c>
      <c r="C44" s="1" t="s">
        <v>14</v>
      </c>
      <c r="D44" t="str">
        <f>VLOOKUP(B44,'Small Pricelist'!A:L,2,0)</f>
        <v>SERVO 2T SUPREME-20X1/4 L</v>
      </c>
      <c r="E44" s="1" t="s">
        <v>14</v>
      </c>
      <c r="F44">
        <f>VLOOKUP(B44,'Small Pricelist'!A:L,3,0)</f>
        <v>117.5</v>
      </c>
      <c r="G44" s="1" t="s">
        <v>14</v>
      </c>
      <c r="H44">
        <f>VLOOKUP(B44,'Small Pricelist'!A:L,4,0)</f>
        <v>86.056999999999988</v>
      </c>
      <c r="I44" s="1" t="s">
        <v>14</v>
      </c>
      <c r="J44">
        <f>VLOOKUP(B44,'Small Pricelist'!A:L,5,0)</f>
        <v>0</v>
      </c>
      <c r="K44" s="1" t="s">
        <v>14</v>
      </c>
      <c r="L44">
        <f>VLOOKUP(B44,'Small Pricelist'!A:L,6,0)</f>
        <v>0</v>
      </c>
      <c r="M44" s="1" t="s">
        <v>14</v>
      </c>
      <c r="N44">
        <f>VLOOKUP(B44,'Small Pricelist'!A:L,7,0)</f>
        <v>0</v>
      </c>
      <c r="O44" s="1" t="s">
        <v>14</v>
      </c>
      <c r="P44">
        <f>VLOOKUP(B44,'Small Pricelist'!A:L,8,0)</f>
        <v>86.056999999999988</v>
      </c>
      <c r="Q44" s="1" t="s">
        <v>14</v>
      </c>
      <c r="R44">
        <f>VLOOKUP(B44,'Small Pricelist'!A:L,9,0)</f>
        <v>31.443000000000012</v>
      </c>
      <c r="S44" s="1" t="s">
        <v>14</v>
      </c>
      <c r="T44">
        <f>VLOOKUP(B44,'Small Pricelist'!A:L,10,0)</f>
        <v>125.77200000000005</v>
      </c>
      <c r="U44" s="1" t="s">
        <v>14</v>
      </c>
      <c r="V44">
        <f>VLOOKUP(B44,'Small Pricelist'!A:L,11,0)</f>
        <v>36.537411250682709</v>
      </c>
      <c r="W44" s="1" t="s">
        <v>14</v>
      </c>
      <c r="X44">
        <f>VLOOKUP(B44,'Small Pricelist'!A:L,12,0)</f>
        <v>1721.1399999999999</v>
      </c>
      <c r="Y44" s="1" t="s">
        <v>12</v>
      </c>
      <c r="Z44" s="25" t="str">
        <f t="shared" si="0"/>
        <v>&lt;tr&gt; &lt;td&gt;2900165&lt;/td&gt;&lt;td&gt;SERVO 2T SUPREME-20X1/4 L&lt;/td&gt;&lt;td&gt;117.5&lt;/td&gt;&lt;td&gt;86.057&lt;/td&gt;&lt;td&gt;0&lt;/td&gt;&lt;td&gt;0&lt;/td&gt;&lt;td&gt;0&lt;/td&gt;&lt;td&gt;86.057&lt;/td&gt;&lt;td&gt;31.443&lt;/td&gt;&lt;td&gt;125.772&lt;/td&gt;&lt;td&gt;36.5374112506827&lt;/td&gt;&lt;td&gt;1721.14&lt;/td&gt;&lt;/tr&gt;</v>
      </c>
    </row>
    <row r="45" spans="1:26" x14ac:dyDescent="0.3">
      <c r="A45" s="1" t="s">
        <v>13</v>
      </c>
      <c r="B45">
        <f>'Small Pricelist'!A44</f>
        <v>2900175</v>
      </c>
      <c r="C45" s="1" t="s">
        <v>14</v>
      </c>
      <c r="D45" t="str">
        <f>VLOOKUP(B45,'Small Pricelist'!A:L,2,0)</f>
        <v>SERVO 2T SUPREME-20X1/2 L</v>
      </c>
      <c r="E45" s="1" t="s">
        <v>14</v>
      </c>
      <c r="F45">
        <f>VLOOKUP(B45,'Small Pricelist'!A:L,3,0)</f>
        <v>196</v>
      </c>
      <c r="G45" s="1" t="s">
        <v>14</v>
      </c>
      <c r="H45">
        <f>VLOOKUP(B45,'Small Pricelist'!A:L,4,0)</f>
        <v>158.07400000000001</v>
      </c>
      <c r="I45" s="1" t="s">
        <v>14</v>
      </c>
      <c r="J45">
        <f>VLOOKUP(B45,'Small Pricelist'!A:L,5,0)</f>
        <v>0</v>
      </c>
      <c r="K45" s="1" t="s">
        <v>14</v>
      </c>
      <c r="L45">
        <f>VLOOKUP(B45,'Small Pricelist'!A:L,6,0)</f>
        <v>0</v>
      </c>
      <c r="M45" s="1" t="s">
        <v>14</v>
      </c>
      <c r="N45">
        <f>VLOOKUP(B45,'Small Pricelist'!A:L,7,0)</f>
        <v>0</v>
      </c>
      <c r="O45" s="1" t="s">
        <v>14</v>
      </c>
      <c r="P45">
        <f>VLOOKUP(B45,'Small Pricelist'!A:L,8,0)</f>
        <v>158.07400000000001</v>
      </c>
      <c r="Q45" s="1" t="s">
        <v>14</v>
      </c>
      <c r="R45">
        <f>VLOOKUP(B45,'Small Pricelist'!A:L,9,0)</f>
        <v>37.925999999999988</v>
      </c>
      <c r="S45" s="1" t="s">
        <v>14</v>
      </c>
      <c r="T45">
        <f>VLOOKUP(B45,'Small Pricelist'!A:L,10,0)</f>
        <v>75.851999999999975</v>
      </c>
      <c r="U45" s="1" t="s">
        <v>14</v>
      </c>
      <c r="V45">
        <f>VLOOKUP(B45,'Small Pricelist'!A:L,11,0)</f>
        <v>23.992560446373208</v>
      </c>
      <c r="W45" s="1" t="s">
        <v>14</v>
      </c>
      <c r="X45">
        <f>VLOOKUP(B45,'Small Pricelist'!A:L,12,0)</f>
        <v>3161.4800000000018</v>
      </c>
      <c r="Y45" s="1" t="s">
        <v>12</v>
      </c>
      <c r="Z45" s="25" t="str">
        <f t="shared" si="0"/>
        <v>&lt;tr&gt; &lt;td&gt;2900175&lt;/td&gt;&lt;td&gt;SERVO 2T SUPREME-20X1/2 L&lt;/td&gt;&lt;td&gt;196&lt;/td&gt;&lt;td&gt;158.074&lt;/td&gt;&lt;td&gt;0&lt;/td&gt;&lt;td&gt;0&lt;/td&gt;&lt;td&gt;0&lt;/td&gt;&lt;td&gt;158.074&lt;/td&gt;&lt;td&gt;37.926&lt;/td&gt;&lt;td&gt;75.852&lt;/td&gt;&lt;td&gt;23.9925604463732&lt;/td&gt;&lt;td&gt;3161.48&lt;/td&gt;&lt;/tr&gt;</v>
      </c>
    </row>
    <row r="46" spans="1:26" x14ac:dyDescent="0.3">
      <c r="A46" s="1" t="s">
        <v>13</v>
      </c>
      <c r="B46">
        <f>'Small Pricelist'!A45</f>
        <v>2900184</v>
      </c>
      <c r="C46" s="1" t="s">
        <v>14</v>
      </c>
      <c r="D46" t="str">
        <f>VLOOKUP(B46,'Small Pricelist'!A:L,2,0)</f>
        <v>SERVO 2T SUPREME-20 X 1 L</v>
      </c>
      <c r="E46" s="1" t="s">
        <v>14</v>
      </c>
      <c r="F46">
        <f>VLOOKUP(B46,'Small Pricelist'!A:L,3,0)</f>
        <v>372</v>
      </c>
      <c r="G46" s="1" t="s">
        <v>14</v>
      </c>
      <c r="H46">
        <f>VLOOKUP(B46,'Small Pricelist'!A:L,4,0)</f>
        <v>309.31800000000004</v>
      </c>
      <c r="I46" s="1" t="s">
        <v>14</v>
      </c>
      <c r="J46">
        <f>VLOOKUP(B46,'Small Pricelist'!A:L,5,0)</f>
        <v>0</v>
      </c>
      <c r="K46" s="1" t="s">
        <v>14</v>
      </c>
      <c r="L46">
        <f>VLOOKUP(B46,'Small Pricelist'!A:L,6,0)</f>
        <v>0</v>
      </c>
      <c r="M46" s="1" t="s">
        <v>14</v>
      </c>
      <c r="N46">
        <f>VLOOKUP(B46,'Small Pricelist'!A:L,7,0)</f>
        <v>0</v>
      </c>
      <c r="O46" s="1" t="s">
        <v>14</v>
      </c>
      <c r="P46">
        <f>VLOOKUP(B46,'Small Pricelist'!A:L,8,0)</f>
        <v>309.31800000000004</v>
      </c>
      <c r="Q46" s="1" t="s">
        <v>14</v>
      </c>
      <c r="R46">
        <f>VLOOKUP(B46,'Small Pricelist'!A:L,9,0)</f>
        <v>62.68199999999996</v>
      </c>
      <c r="S46" s="1" t="s">
        <v>14</v>
      </c>
      <c r="T46">
        <f>VLOOKUP(B46,'Small Pricelist'!A:L,10,0)</f>
        <v>62.68199999999996</v>
      </c>
      <c r="U46" s="1" t="s">
        <v>14</v>
      </c>
      <c r="V46">
        <f>VLOOKUP(B46,'Small Pricelist'!A:L,11,0)</f>
        <v>20.264582080577252</v>
      </c>
      <c r="W46" s="1" t="s">
        <v>14</v>
      </c>
      <c r="X46">
        <f>VLOOKUP(B46,'Small Pricelist'!A:L,12,0)</f>
        <v>6186.3600000000051</v>
      </c>
      <c r="Y46" s="1" t="s">
        <v>12</v>
      </c>
      <c r="Z46" s="25" t="str">
        <f t="shared" si="0"/>
        <v>&lt;tr&gt; &lt;td&gt;2900184&lt;/td&gt;&lt;td&gt;SERVO 2T SUPREME-20 X 1 L&lt;/td&gt;&lt;td&gt;372&lt;/td&gt;&lt;td&gt;309.318&lt;/td&gt;&lt;td&gt;0&lt;/td&gt;&lt;td&gt;0&lt;/td&gt;&lt;td&gt;0&lt;/td&gt;&lt;td&gt;309.318&lt;/td&gt;&lt;td&gt;62.682&lt;/td&gt;&lt;td&gt;62.682&lt;/td&gt;&lt;td&gt;20.2645820805773&lt;/td&gt;&lt;td&gt;6186.36000000001&lt;/td&gt;&lt;/tr&gt;</v>
      </c>
    </row>
    <row r="47" spans="1:26" x14ac:dyDescent="0.3">
      <c r="A47" s="1" t="s">
        <v>13</v>
      </c>
      <c r="B47">
        <f>'Small Pricelist'!A46</f>
        <v>2909165</v>
      </c>
      <c r="C47" s="1" t="s">
        <v>14</v>
      </c>
      <c r="D47" t="str">
        <f>VLOOKUP(B47,'Small Pricelist'!A:L,2,0)</f>
        <v>SERVO BRAKE FLUID SUPER HD - 20X1/4L-HDP</v>
      </c>
      <c r="E47" s="1" t="s">
        <v>14</v>
      </c>
      <c r="F47">
        <f>VLOOKUP(B47,'Small Pricelist'!A:L,3,0)</f>
        <v>121.5</v>
      </c>
      <c r="G47" s="1" t="s">
        <v>14</v>
      </c>
      <c r="H47">
        <f>VLOOKUP(B47,'Small Pricelist'!A:L,4,0)</f>
        <v>99.751499999999993</v>
      </c>
      <c r="I47" s="1" t="s">
        <v>14</v>
      </c>
      <c r="J47">
        <f>VLOOKUP(B47,'Small Pricelist'!A:L,5,0)</f>
        <v>0</v>
      </c>
      <c r="K47" s="1" t="s">
        <v>14</v>
      </c>
      <c r="L47">
        <f>VLOOKUP(B47,'Small Pricelist'!A:L,6,0)</f>
        <v>0</v>
      </c>
      <c r="M47" s="1" t="s">
        <v>14</v>
      </c>
      <c r="N47">
        <f>VLOOKUP(B47,'Small Pricelist'!A:L,7,0)</f>
        <v>0</v>
      </c>
      <c r="O47" s="1" t="s">
        <v>14</v>
      </c>
      <c r="P47">
        <f>VLOOKUP(B47,'Small Pricelist'!A:L,8,0)</f>
        <v>99.751499999999993</v>
      </c>
      <c r="Q47" s="1" t="s">
        <v>14</v>
      </c>
      <c r="R47">
        <f>VLOOKUP(B47,'Small Pricelist'!A:L,9,0)</f>
        <v>21.748500000000007</v>
      </c>
      <c r="S47" s="1" t="s">
        <v>14</v>
      </c>
      <c r="T47">
        <f>VLOOKUP(B47,'Small Pricelist'!A:L,10,0)</f>
        <v>86.994000000000028</v>
      </c>
      <c r="U47" s="1" t="s">
        <v>14</v>
      </c>
      <c r="V47">
        <f>VLOOKUP(B47,'Small Pricelist'!A:L,11,0)</f>
        <v>21.802679658952506</v>
      </c>
      <c r="W47" s="1" t="s">
        <v>14</v>
      </c>
      <c r="X47">
        <f>VLOOKUP(B47,'Small Pricelist'!A:L,12,0)</f>
        <v>1995.0299999999997</v>
      </c>
      <c r="Y47" s="1" t="s">
        <v>12</v>
      </c>
      <c r="Z47" s="25" t="str">
        <f t="shared" si="0"/>
        <v>&lt;tr&gt; &lt;td&gt;2909165&lt;/td&gt;&lt;td&gt;SERVO BRAKE FLUID SUPER HD - 20X1/4L-HDP&lt;/td&gt;&lt;td&gt;121.5&lt;/td&gt;&lt;td&gt;99.7515&lt;/td&gt;&lt;td&gt;0&lt;/td&gt;&lt;td&gt;0&lt;/td&gt;&lt;td&gt;0&lt;/td&gt;&lt;td&gt;99.7515&lt;/td&gt;&lt;td&gt;21.7485&lt;/td&gt;&lt;td&gt;86.994&lt;/td&gt;&lt;td&gt;21.8026796589525&lt;/td&gt;&lt;td&gt;1995.03&lt;/td&gt;&lt;/tr&gt;</v>
      </c>
    </row>
    <row r="48" spans="1:26" x14ac:dyDescent="0.3">
      <c r="A48" s="1" t="s">
        <v>13</v>
      </c>
      <c r="B48">
        <f>'Small Pricelist'!A47</f>
        <v>2909175</v>
      </c>
      <c r="C48" s="1" t="s">
        <v>14</v>
      </c>
      <c r="D48" t="str">
        <f>VLOOKUP(B48,'Small Pricelist'!A:L,2,0)</f>
        <v>SERVO BRAKE FLUID SUPER HD -20X1/2L-HDPE</v>
      </c>
      <c r="E48" s="1" t="s">
        <v>14</v>
      </c>
      <c r="F48">
        <f>VLOOKUP(B48,'Small Pricelist'!A:L,3,0)</f>
        <v>235</v>
      </c>
      <c r="G48" s="1" t="s">
        <v>14</v>
      </c>
      <c r="H48">
        <f>VLOOKUP(B48,'Small Pricelist'!A:L,4,0)</f>
        <v>193.6635</v>
      </c>
      <c r="I48" s="1" t="s">
        <v>14</v>
      </c>
      <c r="J48">
        <f>VLOOKUP(B48,'Small Pricelist'!A:L,5,0)</f>
        <v>0</v>
      </c>
      <c r="K48" s="1" t="s">
        <v>14</v>
      </c>
      <c r="L48">
        <f>VLOOKUP(B48,'Small Pricelist'!A:L,6,0)</f>
        <v>0</v>
      </c>
      <c r="M48" s="1" t="s">
        <v>14</v>
      </c>
      <c r="N48">
        <f>VLOOKUP(B48,'Small Pricelist'!A:L,7,0)</f>
        <v>0</v>
      </c>
      <c r="O48" s="1" t="s">
        <v>14</v>
      </c>
      <c r="P48">
        <f>VLOOKUP(B48,'Small Pricelist'!A:L,8,0)</f>
        <v>193.6635</v>
      </c>
      <c r="Q48" s="1" t="s">
        <v>14</v>
      </c>
      <c r="R48">
        <f>VLOOKUP(B48,'Small Pricelist'!A:L,9,0)</f>
        <v>41.336500000000001</v>
      </c>
      <c r="S48" s="1" t="s">
        <v>14</v>
      </c>
      <c r="T48">
        <f>VLOOKUP(B48,'Small Pricelist'!A:L,10,0)</f>
        <v>82.673000000000002</v>
      </c>
      <c r="U48" s="1" t="s">
        <v>14</v>
      </c>
      <c r="V48">
        <f>VLOOKUP(B48,'Small Pricelist'!A:L,11,0)</f>
        <v>21.344497027059823</v>
      </c>
      <c r="W48" s="1" t="s">
        <v>14</v>
      </c>
      <c r="X48">
        <f>VLOOKUP(B48,'Small Pricelist'!A:L,12,0)</f>
        <v>3873.2700000000023</v>
      </c>
      <c r="Y48" s="1" t="s">
        <v>12</v>
      </c>
      <c r="Z48" s="25" t="str">
        <f t="shared" si="0"/>
        <v>&lt;tr&gt; &lt;td&gt;2909175&lt;/td&gt;&lt;td&gt;SERVO BRAKE FLUID SUPER HD -20X1/2L-HDPE&lt;/td&gt;&lt;td&gt;235&lt;/td&gt;&lt;td&gt;193.6635&lt;/td&gt;&lt;td&gt;0&lt;/td&gt;&lt;td&gt;0&lt;/td&gt;&lt;td&gt;0&lt;/td&gt;&lt;td&gt;193.6635&lt;/td&gt;&lt;td&gt;41.3365&lt;/td&gt;&lt;td&gt;82.673&lt;/td&gt;&lt;td&gt;21.3444970270598&lt;/td&gt;&lt;td&gt;3873.27&lt;/td&gt;&lt;/tr&gt;</v>
      </c>
    </row>
    <row r="49" spans="1:26" x14ac:dyDescent="0.3">
      <c r="A49" s="1" t="s">
        <v>13</v>
      </c>
      <c r="B49">
        <f>'Small Pricelist'!A48</f>
        <v>2914165</v>
      </c>
      <c r="C49" s="1" t="s">
        <v>14</v>
      </c>
      <c r="D49" t="str">
        <f>VLOOKUP(B49,'Small Pricelist'!A:L,2,0)</f>
        <v>SERVO BRAKE FLUID DOT 4-20 X 1/4 L</v>
      </c>
      <c r="E49" s="1" t="s">
        <v>14</v>
      </c>
      <c r="F49">
        <f>VLOOKUP(B49,'Small Pricelist'!A:L,3,0)</f>
        <v>170.5</v>
      </c>
      <c r="G49" s="1" t="s">
        <v>14</v>
      </c>
      <c r="H49">
        <f>VLOOKUP(B49,'Small Pricelist'!A:L,4,0)</f>
        <v>124.65254999999999</v>
      </c>
      <c r="I49" s="1" t="s">
        <v>14</v>
      </c>
      <c r="J49">
        <f>VLOOKUP(B49,'Small Pricelist'!A:L,5,0)</f>
        <v>0</v>
      </c>
      <c r="K49" s="1" t="s">
        <v>14</v>
      </c>
      <c r="L49">
        <f>VLOOKUP(B49,'Small Pricelist'!A:L,6,0)</f>
        <v>0</v>
      </c>
      <c r="M49" s="1" t="s">
        <v>14</v>
      </c>
      <c r="N49">
        <f>VLOOKUP(B49,'Small Pricelist'!A:L,7,0)</f>
        <v>0</v>
      </c>
      <c r="O49" s="1" t="s">
        <v>14</v>
      </c>
      <c r="P49">
        <f>VLOOKUP(B49,'Small Pricelist'!A:L,8,0)</f>
        <v>124.65254999999999</v>
      </c>
      <c r="Q49" s="1" t="s">
        <v>14</v>
      </c>
      <c r="R49">
        <f>VLOOKUP(B49,'Small Pricelist'!A:L,9,0)</f>
        <v>45.847450000000009</v>
      </c>
      <c r="S49" s="1" t="s">
        <v>14</v>
      </c>
      <c r="T49">
        <f>VLOOKUP(B49,'Small Pricelist'!A:L,10,0)</f>
        <v>183.38980000000004</v>
      </c>
      <c r="U49" s="1" t="s">
        <v>14</v>
      </c>
      <c r="V49">
        <f>VLOOKUP(B49,'Small Pricelist'!A:L,11,0)</f>
        <v>36.78019422787581</v>
      </c>
      <c r="W49" s="1" t="s">
        <v>14</v>
      </c>
      <c r="X49">
        <f>VLOOKUP(B49,'Small Pricelist'!A:L,12,0)</f>
        <v>2493.0509999999999</v>
      </c>
      <c r="Y49" s="1" t="s">
        <v>12</v>
      </c>
      <c r="Z49" s="25" t="str">
        <f t="shared" si="0"/>
        <v>&lt;tr&gt; &lt;td&gt;2914165&lt;/td&gt;&lt;td&gt;SERVO BRAKE FLUID DOT 4-20 X 1/4 L&lt;/td&gt;&lt;td&gt;170.5&lt;/td&gt;&lt;td&gt;124.65255&lt;/td&gt;&lt;td&gt;0&lt;/td&gt;&lt;td&gt;0&lt;/td&gt;&lt;td&gt;0&lt;/td&gt;&lt;td&gt;124.65255&lt;/td&gt;&lt;td&gt;45.84745&lt;/td&gt;&lt;td&gt;183.3898&lt;/td&gt;&lt;td&gt;36.7801942278758&lt;/td&gt;&lt;td&gt;2493.051&lt;/td&gt;&lt;/tr&gt;</v>
      </c>
    </row>
    <row r="50" spans="1:26" x14ac:dyDescent="0.3">
      <c r="A50" s="1" t="s">
        <v>13</v>
      </c>
      <c r="B50">
        <f>'Small Pricelist'!A49</f>
        <v>2914175</v>
      </c>
      <c r="C50" s="1" t="s">
        <v>14</v>
      </c>
      <c r="D50" t="str">
        <f>VLOOKUP(B50,'Small Pricelist'!A:L,2,0)</f>
        <v>SERVO BRAKE FLUID DOT 4-20 X 1/2 L</v>
      </c>
      <c r="E50" s="1" t="s">
        <v>14</v>
      </c>
      <c r="F50">
        <f>VLOOKUP(B50,'Small Pricelist'!A:L,3,0)</f>
        <v>325</v>
      </c>
      <c r="G50" s="1" t="s">
        <v>14</v>
      </c>
      <c r="H50">
        <f>VLOOKUP(B50,'Small Pricelist'!A:L,4,0)</f>
        <v>239.88249999999999</v>
      </c>
      <c r="I50" s="1" t="s">
        <v>14</v>
      </c>
      <c r="J50">
        <f>VLOOKUP(B50,'Small Pricelist'!A:L,5,0)</f>
        <v>0</v>
      </c>
      <c r="K50" s="1" t="s">
        <v>14</v>
      </c>
      <c r="L50">
        <f>VLOOKUP(B50,'Small Pricelist'!A:L,6,0)</f>
        <v>0</v>
      </c>
      <c r="M50" s="1" t="s">
        <v>14</v>
      </c>
      <c r="N50">
        <f>VLOOKUP(B50,'Small Pricelist'!A:L,7,0)</f>
        <v>0</v>
      </c>
      <c r="O50" s="1" t="s">
        <v>14</v>
      </c>
      <c r="P50">
        <f>VLOOKUP(B50,'Small Pricelist'!A:L,8,0)</f>
        <v>239.88249999999999</v>
      </c>
      <c r="Q50" s="1" t="s">
        <v>14</v>
      </c>
      <c r="R50">
        <f>VLOOKUP(B50,'Small Pricelist'!A:L,9,0)</f>
        <v>85.117500000000007</v>
      </c>
      <c r="S50" s="1" t="s">
        <v>14</v>
      </c>
      <c r="T50">
        <f>VLOOKUP(B50,'Small Pricelist'!A:L,10,0)</f>
        <v>170.23500000000001</v>
      </c>
      <c r="U50" s="1" t="s">
        <v>14</v>
      </c>
      <c r="V50">
        <f>VLOOKUP(B50,'Small Pricelist'!A:L,11,0)</f>
        <v>35.482996883891076</v>
      </c>
      <c r="W50" s="1" t="s">
        <v>14</v>
      </c>
      <c r="X50">
        <f>VLOOKUP(B50,'Small Pricelist'!A:L,12,0)</f>
        <v>4797.6500000000024</v>
      </c>
      <c r="Y50" s="1" t="s">
        <v>12</v>
      </c>
      <c r="Z50" s="25" t="str">
        <f t="shared" si="0"/>
        <v>&lt;tr&gt; &lt;td&gt;2914175&lt;/td&gt;&lt;td&gt;SERVO BRAKE FLUID DOT 4-20 X 1/2 L&lt;/td&gt;&lt;td&gt;325&lt;/td&gt;&lt;td&gt;239.8825&lt;/td&gt;&lt;td&gt;0&lt;/td&gt;&lt;td&gt;0&lt;/td&gt;&lt;td&gt;0&lt;/td&gt;&lt;td&gt;239.8825&lt;/td&gt;&lt;td&gt;85.1175&lt;/td&gt;&lt;td&gt;170.235&lt;/td&gt;&lt;td&gt;35.4829968838911&lt;/td&gt;&lt;td&gt;4797.65&lt;/td&gt;&lt;/tr&gt;</v>
      </c>
    </row>
    <row r="51" spans="1:26" x14ac:dyDescent="0.3">
      <c r="A51" s="1" t="s">
        <v>13</v>
      </c>
      <c r="B51">
        <f>'Small Pricelist'!A50</f>
        <v>2918175</v>
      </c>
      <c r="C51" s="1" t="s">
        <v>14</v>
      </c>
      <c r="D51" t="str">
        <f>VLOOKUP(B51,'Small Pricelist'!A:L,2,0)</f>
        <v>HYUNDAI SERVO BRAKE OIL - 20x1/2L - HDPE</v>
      </c>
      <c r="E51" s="1" t="s">
        <v>14</v>
      </c>
      <c r="F51">
        <f>VLOOKUP(B51,'Small Pricelist'!A:L,3,0)</f>
        <v>161</v>
      </c>
      <c r="G51" s="1" t="s">
        <v>14</v>
      </c>
      <c r="H51">
        <f>VLOOKUP(B51,'Small Pricelist'!A:L,4,0)</f>
        <v>138.7337</v>
      </c>
      <c r="I51" s="1" t="s">
        <v>14</v>
      </c>
      <c r="J51">
        <f>VLOOKUP(B51,'Small Pricelist'!A:L,5,0)</f>
        <v>0</v>
      </c>
      <c r="K51" s="1" t="s">
        <v>14</v>
      </c>
      <c r="L51">
        <f>VLOOKUP(B51,'Small Pricelist'!A:L,6,0)</f>
        <v>0</v>
      </c>
      <c r="M51" s="1" t="s">
        <v>14</v>
      </c>
      <c r="N51">
        <f>VLOOKUP(B51,'Small Pricelist'!A:L,7,0)</f>
        <v>0</v>
      </c>
      <c r="O51" s="1" t="s">
        <v>14</v>
      </c>
      <c r="P51">
        <f>VLOOKUP(B51,'Small Pricelist'!A:L,8,0)</f>
        <v>138.7337</v>
      </c>
      <c r="Q51" s="1" t="s">
        <v>14</v>
      </c>
      <c r="R51">
        <f>VLOOKUP(B51,'Small Pricelist'!A:L,9,0)</f>
        <v>22.266300000000001</v>
      </c>
      <c r="S51" s="1" t="s">
        <v>14</v>
      </c>
      <c r="T51">
        <f>VLOOKUP(B51,'Small Pricelist'!A:L,10,0)</f>
        <v>44.532600000000002</v>
      </c>
      <c r="U51" s="1" t="s">
        <v>14</v>
      </c>
      <c r="V51">
        <f>VLOOKUP(B51,'Small Pricelist'!A:L,11,0)</f>
        <v>16.049669258442613</v>
      </c>
      <c r="W51" s="1" t="s">
        <v>14</v>
      </c>
      <c r="X51">
        <f>VLOOKUP(B51,'Small Pricelist'!A:L,12,0)</f>
        <v>2774.6740000000013</v>
      </c>
      <c r="Y51" s="1" t="s">
        <v>12</v>
      </c>
      <c r="Z51" s="25" t="str">
        <f t="shared" si="0"/>
        <v>&lt;tr&gt; &lt;td&gt;2918175&lt;/td&gt;&lt;td&gt;HYUNDAI SERVO BRAKE OIL - 20x1/2L - HDPE&lt;/td&gt;&lt;td&gt;161&lt;/td&gt;&lt;td&gt;138.7337&lt;/td&gt;&lt;td&gt;0&lt;/td&gt;&lt;td&gt;0&lt;/td&gt;&lt;td&gt;0&lt;/td&gt;&lt;td&gt;138.7337&lt;/td&gt;&lt;td&gt;22.2663&lt;/td&gt;&lt;td&gt;44.5326&lt;/td&gt;&lt;td&gt;16.0496692584426&lt;/td&gt;&lt;td&gt;2774.674&lt;/td&gt;&lt;/tr&gt;</v>
      </c>
    </row>
    <row r="52" spans="1:26" x14ac:dyDescent="0.3">
      <c r="A52" s="1" t="s">
        <v>13</v>
      </c>
      <c r="B52">
        <f>'Small Pricelist'!A51</f>
        <v>2924152</v>
      </c>
      <c r="C52" s="1" t="s">
        <v>14</v>
      </c>
      <c r="D52" t="str">
        <f>VLOOKUP(B52,'Small Pricelist'!A:L,2,0)</f>
        <v>SERVO 4T-20x0.9 L CAR</v>
      </c>
      <c r="E52" s="1" t="s">
        <v>14</v>
      </c>
      <c r="F52">
        <f>VLOOKUP(B52,'Small Pricelist'!A:L,3,0)</f>
        <v>358</v>
      </c>
      <c r="G52" s="1" t="s">
        <v>14</v>
      </c>
      <c r="H52">
        <f>VLOOKUP(B52,'Small Pricelist'!A:L,4,0)</f>
        <v>262.44979999999998</v>
      </c>
      <c r="I52" s="1" t="s">
        <v>14</v>
      </c>
      <c r="J52">
        <f>VLOOKUP(B52,'Small Pricelist'!A:L,5,0)</f>
        <v>14</v>
      </c>
      <c r="K52" s="1" t="s">
        <v>14</v>
      </c>
      <c r="L52">
        <f>VLOOKUP(B52,'Small Pricelist'!A:L,6,0)</f>
        <v>0</v>
      </c>
      <c r="M52" s="1" t="s">
        <v>14</v>
      </c>
      <c r="N52">
        <f>VLOOKUP(B52,'Small Pricelist'!A:L,7,0)</f>
        <v>0</v>
      </c>
      <c r="O52" s="1" t="s">
        <v>14</v>
      </c>
      <c r="P52">
        <f>VLOOKUP(B52,'Small Pricelist'!A:L,8,0)</f>
        <v>247.58179999999999</v>
      </c>
      <c r="Q52" s="1" t="s">
        <v>14</v>
      </c>
      <c r="R52">
        <f>VLOOKUP(B52,'Small Pricelist'!A:L,9,0)</f>
        <v>110.41820000000001</v>
      </c>
      <c r="S52" s="1" t="s">
        <v>14</v>
      </c>
      <c r="T52">
        <f>VLOOKUP(B52,'Small Pricelist'!A:L,10,0)</f>
        <v>122.68688888888892</v>
      </c>
      <c r="U52" s="1" t="s">
        <v>14</v>
      </c>
      <c r="V52">
        <f>VLOOKUP(B52,'Small Pricelist'!A:L,11,0)</f>
        <v>44.598674054393342</v>
      </c>
      <c r="W52" s="1" t="s">
        <v>14</v>
      </c>
      <c r="X52">
        <f>VLOOKUP(B52,'Small Pricelist'!A:L,12,0)</f>
        <v>4951.6359999999995</v>
      </c>
      <c r="Y52" s="1" t="s">
        <v>12</v>
      </c>
      <c r="Z52" s="25" t="str">
        <f t="shared" si="0"/>
        <v>&lt;tr&gt; &lt;td&gt;2924152&lt;/td&gt;&lt;td&gt;SERVO 4T-20x0.9 L CAR&lt;/td&gt;&lt;td&gt;358&lt;/td&gt;&lt;td&gt;262.4498&lt;/td&gt;&lt;td&gt;14&lt;/td&gt;&lt;td&gt;0&lt;/td&gt;&lt;td&gt;0&lt;/td&gt;&lt;td&gt;247.5818&lt;/td&gt;&lt;td&gt;110.4182&lt;/td&gt;&lt;td&gt;122.686888888889&lt;/td&gt;&lt;td&gt;44.5986740543933&lt;/td&gt;&lt;td&gt;4951.636&lt;/td&gt;&lt;/tr&gt;</v>
      </c>
    </row>
    <row r="53" spans="1:26" x14ac:dyDescent="0.3">
      <c r="A53" s="1" t="s">
        <v>13</v>
      </c>
      <c r="B53">
        <f>'Small Pricelist'!A52</f>
        <v>2924184</v>
      </c>
      <c r="C53" s="1" t="s">
        <v>14</v>
      </c>
      <c r="D53" t="str">
        <f>VLOOKUP(B53,'Small Pricelist'!A:L,2,0)</f>
        <v>SERVO 4T-20X1L-HDPE</v>
      </c>
      <c r="E53" s="1" t="s">
        <v>14</v>
      </c>
      <c r="F53">
        <f>VLOOKUP(B53,'Small Pricelist'!A:L,3,0)</f>
        <v>425</v>
      </c>
      <c r="G53" s="1" t="s">
        <v>14</v>
      </c>
      <c r="H53">
        <f>VLOOKUP(B53,'Small Pricelist'!A:L,4,0)</f>
        <v>313.565</v>
      </c>
      <c r="I53" s="1" t="s">
        <v>14</v>
      </c>
      <c r="J53">
        <f>VLOOKUP(B53,'Small Pricelist'!A:L,5,0)</f>
        <v>14</v>
      </c>
      <c r="K53" s="1" t="s">
        <v>14</v>
      </c>
      <c r="L53">
        <f>VLOOKUP(B53,'Small Pricelist'!A:L,6,0)</f>
        <v>0</v>
      </c>
      <c r="M53" s="1" t="s">
        <v>14</v>
      </c>
      <c r="N53">
        <f>VLOOKUP(B53,'Small Pricelist'!A:L,7,0)</f>
        <v>0</v>
      </c>
      <c r="O53" s="1" t="s">
        <v>14</v>
      </c>
      <c r="P53">
        <f>VLOOKUP(B53,'Small Pricelist'!A:L,8,0)</f>
        <v>297.04500000000002</v>
      </c>
      <c r="Q53" s="1" t="s">
        <v>14</v>
      </c>
      <c r="R53">
        <f>VLOOKUP(B53,'Small Pricelist'!A:L,9,0)</f>
        <v>127.95499999999998</v>
      </c>
      <c r="S53" s="1" t="s">
        <v>14</v>
      </c>
      <c r="T53">
        <f>VLOOKUP(B53,'Small Pricelist'!A:L,10,0)</f>
        <v>127.95499999999998</v>
      </c>
      <c r="U53" s="1" t="s">
        <v>14</v>
      </c>
      <c r="V53">
        <f>VLOOKUP(B53,'Small Pricelist'!A:L,11,0)</f>
        <v>43.075964921139885</v>
      </c>
      <c r="W53" s="1" t="s">
        <v>14</v>
      </c>
      <c r="X53">
        <f>VLOOKUP(B53,'Small Pricelist'!A:L,12,0)</f>
        <v>5940.9000000000042</v>
      </c>
      <c r="Y53" s="1" t="s">
        <v>12</v>
      </c>
      <c r="Z53" s="25" t="str">
        <f t="shared" si="0"/>
        <v>&lt;tr&gt; &lt;td&gt;2924184&lt;/td&gt;&lt;td&gt;SERVO 4T-20X1L-HDPE&lt;/td&gt;&lt;td&gt;425&lt;/td&gt;&lt;td&gt;313.565&lt;/td&gt;&lt;td&gt;14&lt;/td&gt;&lt;td&gt;0&lt;/td&gt;&lt;td&gt;0&lt;/td&gt;&lt;td&gt;297.045&lt;/td&gt;&lt;td&gt;127.955&lt;/td&gt;&lt;td&gt;127.955&lt;/td&gt;&lt;td&gt;43.0759649211399&lt;/td&gt;&lt;td&gt;5940.9&lt;/td&gt;&lt;/tr&gt;</v>
      </c>
    </row>
    <row r="54" spans="1:26" x14ac:dyDescent="0.3">
      <c r="A54" s="1" t="s">
        <v>13</v>
      </c>
      <c r="B54">
        <f>'Small Pricelist'!A53</f>
        <v>2924229</v>
      </c>
      <c r="C54" s="1" t="s">
        <v>14</v>
      </c>
      <c r="D54" t="str">
        <f>VLOOKUP(B54,'Small Pricelist'!A:L,2,0)</f>
        <v>SERVO 4T - 20 X 1 L HDPE PROMO</v>
      </c>
      <c r="E54" s="1" t="s">
        <v>14</v>
      </c>
      <c r="F54">
        <f>VLOOKUP(B54,'Small Pricelist'!A:L,3,0)</f>
        <v>425</v>
      </c>
      <c r="G54" s="1" t="s">
        <v>14</v>
      </c>
      <c r="H54">
        <f>VLOOKUP(B54,'Small Pricelist'!A:L,4,0)</f>
        <v>313.565</v>
      </c>
      <c r="I54" s="1" t="s">
        <v>14</v>
      </c>
      <c r="J54">
        <f>VLOOKUP(B54,'Small Pricelist'!A:L,5,0)</f>
        <v>3</v>
      </c>
      <c r="K54" s="1" t="s">
        <v>14</v>
      </c>
      <c r="L54">
        <f>VLOOKUP(B54,'Small Pricelist'!A:L,6,0)</f>
        <v>0</v>
      </c>
      <c r="M54" s="1" t="s">
        <v>14</v>
      </c>
      <c r="N54">
        <f>VLOOKUP(B54,'Small Pricelist'!A:L,7,0)</f>
        <v>0</v>
      </c>
      <c r="O54" s="1" t="s">
        <v>14</v>
      </c>
      <c r="P54">
        <f>VLOOKUP(B54,'Small Pricelist'!A:L,8,0)</f>
        <v>310.02500000000003</v>
      </c>
      <c r="Q54" s="1" t="s">
        <v>14</v>
      </c>
      <c r="R54">
        <f>VLOOKUP(B54,'Small Pricelist'!A:L,9,0)</f>
        <v>114.97499999999997</v>
      </c>
      <c r="S54" s="1" t="s">
        <v>14</v>
      </c>
      <c r="T54">
        <f>VLOOKUP(B54,'Small Pricelist'!A:L,10,0)</f>
        <v>114.97499999999997</v>
      </c>
      <c r="U54" s="1" t="s">
        <v>14</v>
      </c>
      <c r="V54">
        <f>VLOOKUP(B54,'Small Pricelist'!A:L,11,0)</f>
        <v>37.085718893637591</v>
      </c>
      <c r="W54" s="1" t="s">
        <v>14</v>
      </c>
      <c r="X54">
        <f>VLOOKUP(B54,'Small Pricelist'!A:L,12,0)</f>
        <v>6200.5000000000009</v>
      </c>
      <c r="Y54" s="1" t="s">
        <v>12</v>
      </c>
      <c r="Z54" s="25" t="str">
        <f t="shared" si="0"/>
        <v>&lt;tr&gt; &lt;td&gt;2924229&lt;/td&gt;&lt;td&gt;SERVO 4T - 20 X 1 L HDPE PROMO&lt;/td&gt;&lt;td&gt;425&lt;/td&gt;&lt;td&gt;313.565&lt;/td&gt;&lt;td&gt;3&lt;/td&gt;&lt;td&gt;0&lt;/td&gt;&lt;td&gt;0&lt;/td&gt;&lt;td&gt;310.025&lt;/td&gt;&lt;td&gt;114.975&lt;/td&gt;&lt;td&gt;114.975&lt;/td&gt;&lt;td&gt;37.0857188936376&lt;/td&gt;&lt;td&gt;6200.5&lt;/td&gt;&lt;/tr&gt;</v>
      </c>
    </row>
    <row r="55" spans="1:26" x14ac:dyDescent="0.3">
      <c r="A55" s="1" t="s">
        <v>13</v>
      </c>
      <c r="B55">
        <f>'Small Pricelist'!A54</f>
        <v>2924230</v>
      </c>
      <c r="C55" s="1" t="s">
        <v>14</v>
      </c>
      <c r="D55" t="str">
        <f>VLOOKUP(B55,'Small Pricelist'!A:L,2,0)</f>
        <v>SERVO 4T - 20 X 0.9 L HDPE PROMO</v>
      </c>
      <c r="E55" s="1" t="s">
        <v>14</v>
      </c>
      <c r="F55">
        <f>VLOOKUP(B55,'Small Pricelist'!A:L,3,0)</f>
        <v>385</v>
      </c>
      <c r="G55" s="1" t="s">
        <v>14</v>
      </c>
      <c r="H55">
        <f>VLOOKUP(B55,'Small Pricelist'!A:L,4,0)</f>
        <v>282.24350000000004</v>
      </c>
      <c r="I55" s="1" t="s">
        <v>14</v>
      </c>
      <c r="J55">
        <f>VLOOKUP(B55,'Small Pricelist'!A:L,5,0)</f>
        <v>3</v>
      </c>
      <c r="K55" s="1" t="s">
        <v>14</v>
      </c>
      <c r="L55">
        <f>VLOOKUP(B55,'Small Pricelist'!A:L,6,0)</f>
        <v>0</v>
      </c>
      <c r="M55" s="1" t="s">
        <v>14</v>
      </c>
      <c r="N55">
        <f>VLOOKUP(B55,'Small Pricelist'!A:L,7,0)</f>
        <v>0</v>
      </c>
      <c r="O55" s="1" t="s">
        <v>14</v>
      </c>
      <c r="P55">
        <f>VLOOKUP(B55,'Small Pricelist'!A:L,8,0)</f>
        <v>279.05750000000006</v>
      </c>
      <c r="Q55" s="1" t="s">
        <v>14</v>
      </c>
      <c r="R55">
        <f>VLOOKUP(B55,'Small Pricelist'!A:L,9,0)</f>
        <v>105.94249999999994</v>
      </c>
      <c r="S55" s="1" t="s">
        <v>14</v>
      </c>
      <c r="T55">
        <f>VLOOKUP(B55,'Small Pricelist'!A:L,10,0)</f>
        <v>117.71388888888885</v>
      </c>
      <c r="U55" s="1" t="s">
        <v>14</v>
      </c>
      <c r="V55">
        <f>VLOOKUP(B55,'Small Pricelist'!A:L,11,0)</f>
        <v>37.964398018329526</v>
      </c>
      <c r="W55" s="1" t="s">
        <v>14</v>
      </c>
      <c r="X55">
        <f>VLOOKUP(B55,'Small Pricelist'!A:L,12,0)</f>
        <v>5581.1500000000015</v>
      </c>
      <c r="Y55" s="1" t="s">
        <v>12</v>
      </c>
      <c r="Z55" s="25" t="str">
        <f t="shared" si="0"/>
        <v>&lt;tr&gt; &lt;td&gt;2924230&lt;/td&gt;&lt;td&gt;SERVO 4T - 20 X 0.9 L HDPE PROMO&lt;/td&gt;&lt;td&gt;385&lt;/td&gt;&lt;td&gt;282.2435&lt;/td&gt;&lt;td&gt;3&lt;/td&gt;&lt;td&gt;0&lt;/td&gt;&lt;td&gt;0&lt;/td&gt;&lt;td&gt;279.0575&lt;/td&gt;&lt;td&gt;105.9425&lt;/td&gt;&lt;td&gt;117.713888888889&lt;/td&gt;&lt;td&gt;37.9643980183295&lt;/td&gt;&lt;td&gt;5581.15&lt;/td&gt;&lt;/tr&gt;</v>
      </c>
    </row>
    <row r="56" spans="1:26" x14ac:dyDescent="0.3">
      <c r="A56" s="1" t="s">
        <v>13</v>
      </c>
      <c r="B56">
        <f>'Small Pricelist'!A55</f>
        <v>2927152</v>
      </c>
      <c r="C56" s="1" t="s">
        <v>14</v>
      </c>
      <c r="D56" t="str">
        <f>VLOOKUP(B56,'Small Pricelist'!A:L,2,0)</f>
        <v>SERVO HONDA JOSH-20 X 0.9 L</v>
      </c>
      <c r="E56" s="1" t="s">
        <v>14</v>
      </c>
      <c r="F56">
        <f>VLOOKUP(B56,'Small Pricelist'!A:L,3,0)</f>
        <v>342</v>
      </c>
      <c r="G56" s="1" t="s">
        <v>14</v>
      </c>
      <c r="H56">
        <f>VLOOKUP(B56,'Small Pricelist'!A:L,4,0)</f>
        <v>270.96659999999997</v>
      </c>
      <c r="I56" s="1" t="s">
        <v>14</v>
      </c>
      <c r="J56">
        <f>VLOOKUP(B56,'Small Pricelist'!A:L,5,0)</f>
        <v>20</v>
      </c>
      <c r="K56" s="1" t="s">
        <v>14</v>
      </c>
      <c r="L56">
        <f>VLOOKUP(B56,'Small Pricelist'!A:L,6,0)</f>
        <v>0</v>
      </c>
      <c r="M56" s="1" t="s">
        <v>14</v>
      </c>
      <c r="N56">
        <f>VLOOKUP(B56,'Small Pricelist'!A:L,7,0)</f>
        <v>0</v>
      </c>
      <c r="O56" s="1" t="s">
        <v>14</v>
      </c>
      <c r="P56">
        <f>VLOOKUP(B56,'Small Pricelist'!A:L,8,0)</f>
        <v>249.72659999999996</v>
      </c>
      <c r="Q56" s="1" t="s">
        <v>14</v>
      </c>
      <c r="R56">
        <f>VLOOKUP(B56,'Small Pricelist'!A:L,9,0)</f>
        <v>92.273400000000038</v>
      </c>
      <c r="S56" s="1" t="s">
        <v>14</v>
      </c>
      <c r="T56">
        <f>VLOOKUP(B56,'Small Pricelist'!A:L,10,0)</f>
        <v>102.52600000000007</v>
      </c>
      <c r="U56" s="1" t="s">
        <v>14</v>
      </c>
      <c r="V56">
        <f>VLOOKUP(B56,'Small Pricelist'!A:L,11,0)</f>
        <v>36.949768266576349</v>
      </c>
      <c r="W56" s="1" t="s">
        <v>14</v>
      </c>
      <c r="X56">
        <f>VLOOKUP(B56,'Small Pricelist'!A:L,12,0)</f>
        <v>4994.5319999999992</v>
      </c>
      <c r="Y56" s="1" t="s">
        <v>12</v>
      </c>
      <c r="Z56" s="25" t="str">
        <f t="shared" si="0"/>
        <v>&lt;tr&gt; &lt;td&gt;2927152&lt;/td&gt;&lt;td&gt;SERVO HONDA JOSH-20 X 0.9 L&lt;/td&gt;&lt;td&gt;342&lt;/td&gt;&lt;td&gt;270.9666&lt;/td&gt;&lt;td&gt;20&lt;/td&gt;&lt;td&gt;0&lt;/td&gt;&lt;td&gt;0&lt;/td&gt;&lt;td&gt;249.7266&lt;/td&gt;&lt;td&gt;92.2734&lt;/td&gt;&lt;td&gt;102.526&lt;/td&gt;&lt;td&gt;36.9497682665763&lt;/td&gt;&lt;td&gt;4994.532&lt;/td&gt;&lt;/tr&gt;</v>
      </c>
    </row>
    <row r="57" spans="1:26" x14ac:dyDescent="0.3">
      <c r="A57" s="1" t="s">
        <v>13</v>
      </c>
      <c r="B57">
        <f>'Small Pricelist'!A56</f>
        <v>2927184</v>
      </c>
      <c r="C57" s="1" t="s">
        <v>14</v>
      </c>
      <c r="D57" t="str">
        <f>VLOOKUP(B57,'Small Pricelist'!A:L,2,0)</f>
        <v>SERVO HONDA JOSH-20 X 1 L</v>
      </c>
      <c r="E57" s="1" t="s">
        <v>14</v>
      </c>
      <c r="F57">
        <f>VLOOKUP(B57,'Small Pricelist'!A:L,3,0)</f>
        <v>380</v>
      </c>
      <c r="G57" s="1" t="s">
        <v>14</v>
      </c>
      <c r="H57">
        <f>VLOOKUP(B57,'Small Pricelist'!A:L,4,0)</f>
        <v>301.07400000000001</v>
      </c>
      <c r="I57" s="1" t="s">
        <v>14</v>
      </c>
      <c r="J57">
        <f>VLOOKUP(B57,'Small Pricelist'!A:L,5,0)</f>
        <v>20</v>
      </c>
      <c r="K57" s="1" t="s">
        <v>14</v>
      </c>
      <c r="L57">
        <f>VLOOKUP(B57,'Small Pricelist'!A:L,6,0)</f>
        <v>0</v>
      </c>
      <c r="M57" s="1" t="s">
        <v>14</v>
      </c>
      <c r="N57">
        <f>VLOOKUP(B57,'Small Pricelist'!A:L,7,0)</f>
        <v>0</v>
      </c>
      <c r="O57" s="1" t="s">
        <v>14</v>
      </c>
      <c r="P57">
        <f>VLOOKUP(B57,'Small Pricelist'!A:L,8,0)</f>
        <v>277.47399999999999</v>
      </c>
      <c r="Q57" s="1" t="s">
        <v>14</v>
      </c>
      <c r="R57">
        <f>VLOOKUP(B57,'Small Pricelist'!A:L,9,0)</f>
        <v>102.52600000000001</v>
      </c>
      <c r="S57" s="1" t="s">
        <v>14</v>
      </c>
      <c r="T57">
        <f>VLOOKUP(B57,'Small Pricelist'!A:L,10,0)</f>
        <v>102.52600000000001</v>
      </c>
      <c r="U57" s="1" t="s">
        <v>14</v>
      </c>
      <c r="V57">
        <f>VLOOKUP(B57,'Small Pricelist'!A:L,11,0)</f>
        <v>36.949768266576335</v>
      </c>
      <c r="W57" s="1" t="s">
        <v>14</v>
      </c>
      <c r="X57">
        <f>VLOOKUP(B57,'Small Pricelist'!A:L,12,0)</f>
        <v>5549.4800000000041</v>
      </c>
      <c r="Y57" s="1" t="s">
        <v>12</v>
      </c>
      <c r="Z57" s="25" t="str">
        <f t="shared" si="0"/>
        <v>&lt;tr&gt; &lt;td&gt;2927184&lt;/td&gt;&lt;td&gt;SERVO HONDA JOSH-20 X 1 L&lt;/td&gt;&lt;td&gt;380&lt;/td&gt;&lt;td&gt;301.074&lt;/td&gt;&lt;td&gt;20&lt;/td&gt;&lt;td&gt;0&lt;/td&gt;&lt;td&gt;0&lt;/td&gt;&lt;td&gt;277.474&lt;/td&gt;&lt;td&gt;102.526&lt;/td&gt;&lt;td&gt;102.526&lt;/td&gt;&lt;td&gt;36.9497682665763&lt;/td&gt;&lt;td&gt;5549.48&lt;/td&gt;&lt;/tr&gt;</v>
      </c>
    </row>
    <row r="58" spans="1:26" x14ac:dyDescent="0.3">
      <c r="A58" s="1" t="s">
        <v>13</v>
      </c>
      <c r="B58">
        <f>'Small Pricelist'!A57</f>
        <v>2931184</v>
      </c>
      <c r="C58" s="1" t="s">
        <v>14</v>
      </c>
      <c r="D58" t="str">
        <f>VLOOKUP(B58,'Small Pricelist'!A:L,2,0)</f>
        <v>SERVO 4T 20W-50-20 X 1 L</v>
      </c>
      <c r="E58" s="1" t="s">
        <v>14</v>
      </c>
      <c r="F58">
        <f>VLOOKUP(B58,'Small Pricelist'!A:L,3,0)</f>
        <v>480</v>
      </c>
      <c r="G58" s="1" t="s">
        <v>14</v>
      </c>
      <c r="H58">
        <f>VLOOKUP(B58,'Small Pricelist'!A:L,4,0)</f>
        <v>322.22399999999999</v>
      </c>
      <c r="I58" s="1" t="s">
        <v>14</v>
      </c>
      <c r="J58">
        <f>VLOOKUP(B58,'Small Pricelist'!A:L,5,0)</f>
        <v>9</v>
      </c>
      <c r="K58" s="1" t="s">
        <v>14</v>
      </c>
      <c r="L58">
        <f>VLOOKUP(B58,'Small Pricelist'!A:L,6,0)</f>
        <v>0</v>
      </c>
      <c r="M58" s="1" t="s">
        <v>14</v>
      </c>
      <c r="N58">
        <f>VLOOKUP(B58,'Small Pricelist'!A:L,7,0)</f>
        <v>0</v>
      </c>
      <c r="O58" s="1" t="s">
        <v>14</v>
      </c>
      <c r="P58">
        <f>VLOOKUP(B58,'Small Pricelist'!A:L,8,0)</f>
        <v>311.60399999999998</v>
      </c>
      <c r="Q58" s="1" t="s">
        <v>14</v>
      </c>
      <c r="R58">
        <f>VLOOKUP(B58,'Small Pricelist'!A:L,9,0)</f>
        <v>168.39600000000002</v>
      </c>
      <c r="S58" s="1" t="s">
        <v>14</v>
      </c>
      <c r="T58">
        <f>VLOOKUP(B58,'Small Pricelist'!A:L,10,0)</f>
        <v>168.39600000000002</v>
      </c>
      <c r="U58" s="1" t="s">
        <v>14</v>
      </c>
      <c r="V58">
        <f>VLOOKUP(B58,'Small Pricelist'!A:L,11,0)</f>
        <v>54.041668271267383</v>
      </c>
      <c r="W58" s="1" t="s">
        <v>14</v>
      </c>
      <c r="X58">
        <f>VLOOKUP(B58,'Small Pricelist'!A:L,12,0)</f>
        <v>6232.0800000000045</v>
      </c>
      <c r="Y58" s="1" t="s">
        <v>12</v>
      </c>
      <c r="Z58" s="25" t="str">
        <f t="shared" si="0"/>
        <v>&lt;tr&gt; &lt;td&gt;2931184&lt;/td&gt;&lt;td&gt;SERVO 4T 20W-50-20 X 1 L&lt;/td&gt;&lt;td&gt;480&lt;/td&gt;&lt;td&gt;322.224&lt;/td&gt;&lt;td&gt;9&lt;/td&gt;&lt;td&gt;0&lt;/td&gt;&lt;td&gt;0&lt;/td&gt;&lt;td&gt;311.604&lt;/td&gt;&lt;td&gt;168.396&lt;/td&gt;&lt;td&gt;168.396&lt;/td&gt;&lt;td&gt;54.0416682712674&lt;/td&gt;&lt;td&gt;6232.08&lt;/td&gt;&lt;/tr&gt;</v>
      </c>
    </row>
    <row r="59" spans="1:26" x14ac:dyDescent="0.3">
      <c r="A59" s="1" t="s">
        <v>13</v>
      </c>
      <c r="B59">
        <f>'Small Pricelist'!A58</f>
        <v>2931225</v>
      </c>
      <c r="C59" s="1" t="s">
        <v>14</v>
      </c>
      <c r="D59" t="str">
        <f>VLOOKUP(B59,'Small Pricelist'!A:L,2,0)</f>
        <v>SERVO 4T 20W-50-20 X 1.2 L</v>
      </c>
      <c r="E59" s="1" t="s">
        <v>14</v>
      </c>
      <c r="F59">
        <f>VLOOKUP(B59,'Small Pricelist'!A:L,3,0)</f>
        <v>572</v>
      </c>
      <c r="G59" s="1" t="s">
        <v>14</v>
      </c>
      <c r="H59">
        <f>VLOOKUP(B59,'Small Pricelist'!A:L,4,0)</f>
        <v>385.87119999999993</v>
      </c>
      <c r="I59" s="1" t="s">
        <v>14</v>
      </c>
      <c r="J59">
        <f>VLOOKUP(B59,'Small Pricelist'!A:L,5,0)</f>
        <v>9</v>
      </c>
      <c r="K59" s="1" t="s">
        <v>14</v>
      </c>
      <c r="L59">
        <f>VLOOKUP(B59,'Small Pricelist'!A:L,6,0)</f>
        <v>0</v>
      </c>
      <c r="M59" s="1" t="s">
        <v>14</v>
      </c>
      <c r="N59">
        <f>VLOOKUP(B59,'Small Pricelist'!A:L,7,0)</f>
        <v>0</v>
      </c>
      <c r="O59" s="1" t="s">
        <v>14</v>
      </c>
      <c r="P59">
        <f>VLOOKUP(B59,'Small Pricelist'!A:L,8,0)</f>
        <v>373.1271999999999</v>
      </c>
      <c r="Q59" s="1" t="s">
        <v>14</v>
      </c>
      <c r="R59">
        <f>VLOOKUP(B59,'Small Pricelist'!A:L,9,0)</f>
        <v>198.8728000000001</v>
      </c>
      <c r="S59" s="1" t="s">
        <v>14</v>
      </c>
      <c r="T59">
        <f>VLOOKUP(B59,'Small Pricelist'!A:L,10,0)</f>
        <v>165.72733333333343</v>
      </c>
      <c r="U59" s="1" t="s">
        <v>14</v>
      </c>
      <c r="V59">
        <f>VLOOKUP(B59,'Small Pricelist'!A:L,11,0)</f>
        <v>53.298928622732447</v>
      </c>
      <c r="W59" s="1" t="s">
        <v>14</v>
      </c>
      <c r="X59">
        <f>VLOOKUP(B59,'Small Pricelist'!A:L,12,0)</f>
        <v>7462.5439999999981</v>
      </c>
      <c r="Y59" s="1" t="s">
        <v>12</v>
      </c>
      <c r="Z59" s="25" t="str">
        <f t="shared" si="0"/>
        <v>&lt;tr&gt; &lt;td&gt;2931225&lt;/td&gt;&lt;td&gt;SERVO 4T 20W-50-20 X 1.2 L&lt;/td&gt;&lt;td&gt;572&lt;/td&gt;&lt;td&gt;385.8712&lt;/td&gt;&lt;td&gt;9&lt;/td&gt;&lt;td&gt;0&lt;/td&gt;&lt;td&gt;0&lt;/td&gt;&lt;td&gt;373.1272&lt;/td&gt;&lt;td&gt;198.8728&lt;/td&gt;&lt;td&gt;165.727333333333&lt;/td&gt;&lt;td&gt;53.2989286227324&lt;/td&gt;&lt;td&gt;7462.544&lt;/td&gt;&lt;/tr&gt;</v>
      </c>
    </row>
    <row r="60" spans="1:26" x14ac:dyDescent="0.3">
      <c r="A60" s="1" t="s">
        <v>13</v>
      </c>
      <c r="B60">
        <f>'Small Pricelist'!A59</f>
        <v>2931229</v>
      </c>
      <c r="C60" s="1" t="s">
        <v>14</v>
      </c>
      <c r="D60" t="str">
        <f>VLOOKUP(B60,'Small Pricelist'!A:L,2,0)</f>
        <v>SERVO 4T 20W-50-20 X 1 L PROMO</v>
      </c>
      <c r="E60" s="1" t="s">
        <v>14</v>
      </c>
      <c r="F60">
        <f>VLOOKUP(B60,'Small Pricelist'!A:L,3,0)</f>
        <v>480</v>
      </c>
      <c r="G60" s="1" t="s">
        <v>14</v>
      </c>
      <c r="H60">
        <f>VLOOKUP(B60,'Small Pricelist'!A:L,4,0)</f>
        <v>322.22399999999999</v>
      </c>
      <c r="I60" s="1" t="s">
        <v>14</v>
      </c>
      <c r="J60">
        <f>VLOOKUP(B60,'Small Pricelist'!A:L,5,0)</f>
        <v>9</v>
      </c>
      <c r="K60" s="1" t="s">
        <v>14</v>
      </c>
      <c r="L60">
        <f>VLOOKUP(B60,'Small Pricelist'!A:L,6,0)</f>
        <v>0</v>
      </c>
      <c r="M60" s="1" t="s">
        <v>14</v>
      </c>
      <c r="N60">
        <f>VLOOKUP(B60,'Small Pricelist'!A:L,7,0)</f>
        <v>0</v>
      </c>
      <c r="O60" s="1" t="s">
        <v>14</v>
      </c>
      <c r="P60">
        <f>VLOOKUP(B60,'Small Pricelist'!A:L,8,0)</f>
        <v>311.60399999999998</v>
      </c>
      <c r="Q60" s="1" t="s">
        <v>14</v>
      </c>
      <c r="R60">
        <f>VLOOKUP(B60,'Small Pricelist'!A:L,9,0)</f>
        <v>168.39600000000002</v>
      </c>
      <c r="S60" s="1" t="s">
        <v>14</v>
      </c>
      <c r="T60">
        <f>VLOOKUP(B60,'Small Pricelist'!A:L,10,0)</f>
        <v>168.39600000000002</v>
      </c>
      <c r="U60" s="1" t="s">
        <v>14</v>
      </c>
      <c r="V60">
        <f>VLOOKUP(B60,'Small Pricelist'!A:L,11,0)</f>
        <v>54.041668271267383</v>
      </c>
      <c r="W60" s="1" t="s">
        <v>14</v>
      </c>
      <c r="X60">
        <f>VLOOKUP(B60,'Small Pricelist'!A:L,12,0)</f>
        <v>6232.08</v>
      </c>
      <c r="Y60" s="1" t="s">
        <v>12</v>
      </c>
      <c r="Z60" s="25" t="str">
        <f t="shared" si="0"/>
        <v>&lt;tr&gt; &lt;td&gt;2931229&lt;/td&gt;&lt;td&gt;SERVO 4T 20W-50-20 X 1 L PROMO&lt;/td&gt;&lt;td&gt;480&lt;/td&gt;&lt;td&gt;322.224&lt;/td&gt;&lt;td&gt;9&lt;/td&gt;&lt;td&gt;0&lt;/td&gt;&lt;td&gt;0&lt;/td&gt;&lt;td&gt;311.604&lt;/td&gt;&lt;td&gt;168.396&lt;/td&gt;&lt;td&gt;168.396&lt;/td&gt;&lt;td&gt;54.0416682712674&lt;/td&gt;&lt;td&gt;6232.08&lt;/td&gt;&lt;/tr&gt;</v>
      </c>
    </row>
    <row r="61" spans="1:26" x14ac:dyDescent="0.3">
      <c r="A61" s="1" t="s">
        <v>13</v>
      </c>
      <c r="B61">
        <f>'Small Pricelist'!A60</f>
        <v>2933156</v>
      </c>
      <c r="C61" s="1" t="s">
        <v>14</v>
      </c>
      <c r="D61" t="str">
        <f>VLOOKUP(B61,'Small Pricelist'!A:L,2,0)</f>
        <v>SERVO HONDA SCOOTONXT-20 X 0.8 L</v>
      </c>
      <c r="E61" s="1" t="s">
        <v>14</v>
      </c>
      <c r="F61">
        <f>VLOOKUP(B61,'Small Pricelist'!A:L,3,0)</f>
        <v>324</v>
      </c>
      <c r="G61" s="1" t="s">
        <v>14</v>
      </c>
      <c r="H61">
        <f>VLOOKUP(B61,'Small Pricelist'!A:L,4,0)</f>
        <v>241.89840000000001</v>
      </c>
      <c r="I61" s="1" t="s">
        <v>14</v>
      </c>
      <c r="J61">
        <f>VLOOKUP(B61,'Small Pricelist'!A:L,5,0)</f>
        <v>15</v>
      </c>
      <c r="K61" s="1" t="s">
        <v>14</v>
      </c>
      <c r="L61">
        <f>VLOOKUP(B61,'Small Pricelist'!A:L,6,0)</f>
        <v>0</v>
      </c>
      <c r="M61" s="1" t="s">
        <v>14</v>
      </c>
      <c r="N61">
        <f>VLOOKUP(B61,'Small Pricelist'!A:L,7,0)</f>
        <v>0</v>
      </c>
      <c r="O61" s="1" t="s">
        <v>14</v>
      </c>
      <c r="P61">
        <f>VLOOKUP(B61,'Small Pricelist'!A:L,8,0)</f>
        <v>227.73839999999998</v>
      </c>
      <c r="Q61" s="1" t="s">
        <v>14</v>
      </c>
      <c r="R61">
        <f>VLOOKUP(B61,'Small Pricelist'!A:L,9,0)</f>
        <v>96.261600000000016</v>
      </c>
      <c r="S61" s="1" t="s">
        <v>14</v>
      </c>
      <c r="T61">
        <f>VLOOKUP(B61,'Small Pricelist'!A:L,10,0)</f>
        <v>120.32700000000006</v>
      </c>
      <c r="U61" s="1" t="s">
        <v>14</v>
      </c>
      <c r="V61">
        <f>VLOOKUP(B61,'Small Pricelist'!A:L,11,0)</f>
        <v>42.268497539281924</v>
      </c>
      <c r="W61" s="1" t="s">
        <v>14</v>
      </c>
      <c r="X61">
        <f>VLOOKUP(B61,'Small Pricelist'!A:L,12,0)</f>
        <v>4554.768</v>
      </c>
      <c r="Y61" s="1" t="s">
        <v>12</v>
      </c>
      <c r="Z61" s="25" t="str">
        <f t="shared" si="0"/>
        <v>&lt;tr&gt; &lt;td&gt;2933156&lt;/td&gt;&lt;td&gt;SERVO HONDA SCOOTONXT-20 X 0.8 L&lt;/td&gt;&lt;td&gt;324&lt;/td&gt;&lt;td&gt;241.8984&lt;/td&gt;&lt;td&gt;15&lt;/td&gt;&lt;td&gt;0&lt;/td&gt;&lt;td&gt;0&lt;/td&gt;&lt;td&gt;227.7384&lt;/td&gt;&lt;td&gt;96.2616&lt;/td&gt;&lt;td&gt;120.327&lt;/td&gt;&lt;td&gt;42.2684975392819&lt;/td&gt;&lt;td&gt;4554.768&lt;/td&gt;&lt;/tr&gt;</v>
      </c>
    </row>
    <row r="62" spans="1:26" x14ac:dyDescent="0.3">
      <c r="A62" s="1" t="s">
        <v>13</v>
      </c>
      <c r="B62">
        <f>'Small Pricelist'!A61</f>
        <v>2936152</v>
      </c>
      <c r="C62" s="1" t="s">
        <v>14</v>
      </c>
      <c r="D62" t="str">
        <f>VLOOKUP(B62,'Small Pricelist'!A:L,2,0)</f>
        <v>SERVO 4T ZOOM 10W-30 - 20 X 0.9 L HDPE</v>
      </c>
      <c r="E62" s="1" t="s">
        <v>14</v>
      </c>
      <c r="F62">
        <f>VLOOKUP(B62,'Small Pricelist'!A:L,3,0)</f>
        <v>395</v>
      </c>
      <c r="G62" s="1" t="s">
        <v>14</v>
      </c>
      <c r="H62">
        <f>VLOOKUP(B62,'Small Pricelist'!A:L,4,0)</f>
        <v>285.34800000000001</v>
      </c>
      <c r="I62" s="1" t="s">
        <v>14</v>
      </c>
      <c r="J62">
        <f>VLOOKUP(B62,'Small Pricelist'!A:L,5,0)</f>
        <v>14</v>
      </c>
      <c r="K62" s="1" t="s">
        <v>14</v>
      </c>
      <c r="L62">
        <f>VLOOKUP(B62,'Small Pricelist'!A:L,6,0)</f>
        <v>0</v>
      </c>
      <c r="M62" s="1" t="s">
        <v>14</v>
      </c>
      <c r="N62">
        <f>VLOOKUP(B62,'Small Pricelist'!A:L,7,0)</f>
        <v>0</v>
      </c>
      <c r="O62" s="1" t="s">
        <v>14</v>
      </c>
      <c r="P62">
        <f>VLOOKUP(B62,'Small Pricelist'!A:L,8,0)</f>
        <v>270.48</v>
      </c>
      <c r="Q62" s="1" t="s">
        <v>14</v>
      </c>
      <c r="R62">
        <f>VLOOKUP(B62,'Small Pricelist'!A:L,9,0)</f>
        <v>124.51999999999998</v>
      </c>
      <c r="S62" s="1" t="s">
        <v>14</v>
      </c>
      <c r="T62">
        <f>VLOOKUP(B62,'Small Pricelist'!A:L,10,0)</f>
        <v>138.3555555555555</v>
      </c>
      <c r="U62" s="1" t="s">
        <v>14</v>
      </c>
      <c r="V62">
        <f>VLOOKUP(B62,'Small Pricelist'!A:L,11,0)</f>
        <v>46.036675539781122</v>
      </c>
      <c r="W62" s="1" t="s">
        <v>14</v>
      </c>
      <c r="X62">
        <f>VLOOKUP(B62,'Small Pricelist'!A:L,12,0)</f>
        <v>5409.6</v>
      </c>
      <c r="Y62" s="1" t="s">
        <v>12</v>
      </c>
      <c r="Z62" s="25" t="str">
        <f t="shared" si="0"/>
        <v>&lt;tr&gt; &lt;td&gt;2936152&lt;/td&gt;&lt;td&gt;SERVO 4T ZOOM 10W-30 - 20 X 0.9 L HDPE&lt;/td&gt;&lt;td&gt;395&lt;/td&gt;&lt;td&gt;285.348&lt;/td&gt;&lt;td&gt;14&lt;/td&gt;&lt;td&gt;0&lt;/td&gt;&lt;td&gt;0&lt;/td&gt;&lt;td&gt;270.48&lt;/td&gt;&lt;td&gt;124.52&lt;/td&gt;&lt;td&gt;138.355555555555&lt;/td&gt;&lt;td&gt;46.0366755397811&lt;/td&gt;&lt;td&gt;5409.6&lt;/td&gt;&lt;/tr&gt;</v>
      </c>
    </row>
    <row r="63" spans="1:26" x14ac:dyDescent="0.3">
      <c r="A63" s="1" t="s">
        <v>13</v>
      </c>
      <c r="B63">
        <f>'Small Pricelist'!A62</f>
        <v>2936229</v>
      </c>
      <c r="C63" s="1" t="s">
        <v>14</v>
      </c>
      <c r="D63" t="str">
        <f>VLOOKUP(B63,'Small Pricelist'!A:L,2,0)</f>
        <v>SERVO 4T ZOOM 10W-30-20 X 1 L PROMO</v>
      </c>
      <c r="E63" s="1" t="s">
        <v>14</v>
      </c>
      <c r="F63">
        <f>VLOOKUP(B63,'Small Pricelist'!A:L,3,0)</f>
        <v>437</v>
      </c>
      <c r="G63" s="1" t="s">
        <v>14</v>
      </c>
      <c r="H63">
        <f>VLOOKUP(B63,'Small Pricelist'!A:L,4,0)</f>
        <v>316.47540000000004</v>
      </c>
      <c r="I63" s="1" t="s">
        <v>14</v>
      </c>
      <c r="J63">
        <f>VLOOKUP(B63,'Small Pricelist'!A:L,5,0)</f>
        <v>14</v>
      </c>
      <c r="K63" s="1" t="s">
        <v>14</v>
      </c>
      <c r="L63">
        <f>VLOOKUP(B63,'Small Pricelist'!A:L,6,0)</f>
        <v>0</v>
      </c>
      <c r="M63" s="1" t="s">
        <v>14</v>
      </c>
      <c r="N63">
        <f>VLOOKUP(B63,'Small Pricelist'!A:L,7,0)</f>
        <v>0</v>
      </c>
      <c r="O63" s="1" t="s">
        <v>14</v>
      </c>
      <c r="P63">
        <f>VLOOKUP(B63,'Small Pricelist'!A:L,8,0)</f>
        <v>299.9554</v>
      </c>
      <c r="Q63" s="1" t="s">
        <v>14</v>
      </c>
      <c r="R63">
        <f>VLOOKUP(B63,'Small Pricelist'!A:L,9,0)</f>
        <v>137.0446</v>
      </c>
      <c r="S63" s="1" t="s">
        <v>14</v>
      </c>
      <c r="T63">
        <f>VLOOKUP(B63,'Small Pricelist'!A:L,10,0)</f>
        <v>137.0446</v>
      </c>
      <c r="U63" s="1" t="s">
        <v>14</v>
      </c>
      <c r="V63">
        <f>VLOOKUP(B63,'Small Pricelist'!A:L,11,0)</f>
        <v>45.688325664415444</v>
      </c>
      <c r="W63" s="1" t="s">
        <v>14</v>
      </c>
      <c r="X63">
        <f>VLOOKUP(B63,'Small Pricelist'!A:L,12,0)</f>
        <v>5999.1080000000002</v>
      </c>
      <c r="Y63" s="1" t="s">
        <v>12</v>
      </c>
      <c r="Z63" s="25" t="str">
        <f t="shared" si="0"/>
        <v>&lt;tr&gt; &lt;td&gt;2936229&lt;/td&gt;&lt;td&gt;SERVO 4T ZOOM 10W-30-20 X 1 L PROMO&lt;/td&gt;&lt;td&gt;437&lt;/td&gt;&lt;td&gt;316.4754&lt;/td&gt;&lt;td&gt;14&lt;/td&gt;&lt;td&gt;0&lt;/td&gt;&lt;td&gt;0&lt;/td&gt;&lt;td&gt;299.9554&lt;/td&gt;&lt;td&gt;137.0446&lt;/td&gt;&lt;td&gt;137.0446&lt;/td&gt;&lt;td&gt;45.6883256644154&lt;/td&gt;&lt;td&gt;5999.108&lt;/td&gt;&lt;/tr&gt;</v>
      </c>
    </row>
    <row r="64" spans="1:26" x14ac:dyDescent="0.3">
      <c r="A64" s="1" t="s">
        <v>13</v>
      </c>
      <c r="B64">
        <f>'Small Pricelist'!A63</f>
        <v>2936230</v>
      </c>
      <c r="C64" s="1" t="s">
        <v>14</v>
      </c>
      <c r="D64" t="str">
        <f>VLOOKUP(B64,'Small Pricelist'!A:L,2,0)</f>
        <v>SERVO 4T ZOOM 10W-30-20X0.9 L HDPE PROMO</v>
      </c>
      <c r="E64" s="1" t="s">
        <v>14</v>
      </c>
      <c r="F64">
        <f>VLOOKUP(B64,'Small Pricelist'!A:L,3,0)</f>
        <v>395</v>
      </c>
      <c r="G64" s="1" t="s">
        <v>14</v>
      </c>
      <c r="H64">
        <f>VLOOKUP(B64,'Small Pricelist'!A:L,4,0)</f>
        <v>285.34800000000001</v>
      </c>
      <c r="I64" s="1" t="s">
        <v>14</v>
      </c>
      <c r="J64">
        <f>VLOOKUP(B64,'Small Pricelist'!A:L,5,0)</f>
        <v>14</v>
      </c>
      <c r="K64" s="1" t="s">
        <v>14</v>
      </c>
      <c r="L64">
        <f>VLOOKUP(B64,'Small Pricelist'!A:L,6,0)</f>
        <v>0</v>
      </c>
      <c r="M64" s="1" t="s">
        <v>14</v>
      </c>
      <c r="N64">
        <f>VLOOKUP(B64,'Small Pricelist'!A:L,7,0)</f>
        <v>0</v>
      </c>
      <c r="O64" s="1" t="s">
        <v>14</v>
      </c>
      <c r="P64">
        <f>VLOOKUP(B64,'Small Pricelist'!A:L,8,0)</f>
        <v>270.48</v>
      </c>
      <c r="Q64" s="1" t="s">
        <v>14</v>
      </c>
      <c r="R64">
        <f>VLOOKUP(B64,'Small Pricelist'!A:L,9,0)</f>
        <v>124.51999999999998</v>
      </c>
      <c r="S64" s="1" t="s">
        <v>14</v>
      </c>
      <c r="T64">
        <f>VLOOKUP(B64,'Small Pricelist'!A:L,10,0)</f>
        <v>138.3555555555555</v>
      </c>
      <c r="U64" s="1" t="s">
        <v>14</v>
      </c>
      <c r="V64">
        <f>VLOOKUP(B64,'Small Pricelist'!A:L,11,0)</f>
        <v>46.036675539781122</v>
      </c>
      <c r="W64" s="1" t="s">
        <v>14</v>
      </c>
      <c r="X64">
        <f>VLOOKUP(B64,'Small Pricelist'!A:L,12,0)</f>
        <v>5409.6</v>
      </c>
      <c r="Y64" s="1" t="s">
        <v>12</v>
      </c>
      <c r="Z64" s="25" t="str">
        <f t="shared" si="0"/>
        <v>&lt;tr&gt; &lt;td&gt;2936230&lt;/td&gt;&lt;td&gt;SERVO 4T ZOOM 10W-30-20X0.9 L HDPE PROMO&lt;/td&gt;&lt;td&gt;395&lt;/td&gt;&lt;td&gt;285.348&lt;/td&gt;&lt;td&gt;14&lt;/td&gt;&lt;td&gt;0&lt;/td&gt;&lt;td&gt;0&lt;/td&gt;&lt;td&gt;270.48&lt;/td&gt;&lt;td&gt;124.52&lt;/td&gt;&lt;td&gt;138.355555555555&lt;/td&gt;&lt;td&gt;46.0366755397811&lt;/td&gt;&lt;td&gt;5409.6&lt;/td&gt;&lt;/tr&gt;</v>
      </c>
    </row>
    <row r="65" spans="1:26" x14ac:dyDescent="0.3">
      <c r="A65" s="1" t="s">
        <v>13</v>
      </c>
      <c r="B65">
        <f>'Small Pricelist'!A64</f>
        <v>2944229</v>
      </c>
      <c r="C65" s="1" t="s">
        <v>14</v>
      </c>
      <c r="D65" t="str">
        <f>VLOOKUP(B65,'Small Pricelist'!A:L,2,0)</f>
        <v>SERVO 4T 10W-30-20 X 1 L PROMO</v>
      </c>
      <c r="E65" s="1" t="s">
        <v>14</v>
      </c>
      <c r="F65">
        <f>VLOOKUP(B65,'Small Pricelist'!A:L,3,0)</f>
        <v>426</v>
      </c>
      <c r="G65" s="1" t="s">
        <v>14</v>
      </c>
      <c r="H65">
        <f>VLOOKUP(B65,'Small Pricelist'!A:L,4,0)</f>
        <v>341.52420000000001</v>
      </c>
      <c r="I65" s="1" t="s">
        <v>14</v>
      </c>
      <c r="J65">
        <f>VLOOKUP(B65,'Small Pricelist'!A:L,5,0)</f>
        <v>10</v>
      </c>
      <c r="K65" s="1" t="s">
        <v>14</v>
      </c>
      <c r="L65">
        <f>VLOOKUP(B65,'Small Pricelist'!A:L,6,0)</f>
        <v>0</v>
      </c>
      <c r="M65" s="1" t="s">
        <v>14</v>
      </c>
      <c r="N65">
        <f>VLOOKUP(B65,'Small Pricelist'!A:L,7,0)</f>
        <v>0</v>
      </c>
      <c r="O65" s="1" t="s">
        <v>14</v>
      </c>
      <c r="P65">
        <f>VLOOKUP(B65,'Small Pricelist'!A:L,8,0)</f>
        <v>329.7242</v>
      </c>
      <c r="Q65" s="1" t="s">
        <v>14</v>
      </c>
      <c r="R65">
        <f>VLOOKUP(B65,'Small Pricelist'!A:L,9,0)</f>
        <v>96.275800000000004</v>
      </c>
      <c r="S65" s="1" t="s">
        <v>14</v>
      </c>
      <c r="T65">
        <f>VLOOKUP(B65,'Small Pricelist'!A:L,10,0)</f>
        <v>96.275800000000004</v>
      </c>
      <c r="U65" s="1" t="s">
        <v>14</v>
      </c>
      <c r="V65">
        <f>VLOOKUP(B65,'Small Pricelist'!A:L,11,0)</f>
        <v>29.198888040368288</v>
      </c>
      <c r="W65" s="1" t="s">
        <v>14</v>
      </c>
      <c r="X65">
        <f>VLOOKUP(B65,'Small Pricelist'!A:L,12,0)</f>
        <v>6594.4840000000004</v>
      </c>
      <c r="Y65" s="1" t="s">
        <v>12</v>
      </c>
      <c r="Z65" s="25" t="str">
        <f t="shared" si="0"/>
        <v>&lt;tr&gt; &lt;td&gt;2944229&lt;/td&gt;&lt;td&gt;SERVO 4T 10W-30-20 X 1 L PROMO&lt;/td&gt;&lt;td&gt;426&lt;/td&gt;&lt;td&gt;341.5242&lt;/td&gt;&lt;td&gt;10&lt;/td&gt;&lt;td&gt;0&lt;/td&gt;&lt;td&gt;0&lt;/td&gt;&lt;td&gt;329.7242&lt;/td&gt;&lt;td&gt;96.2758&lt;/td&gt;&lt;td&gt;96.2758&lt;/td&gt;&lt;td&gt;29.1988880403683&lt;/td&gt;&lt;td&gt;6594.484&lt;/td&gt;&lt;/tr&gt;</v>
      </c>
    </row>
    <row r="66" spans="1:26" x14ac:dyDescent="0.3">
      <c r="A66" s="1" t="s">
        <v>13</v>
      </c>
      <c r="B66">
        <f>'Small Pricelist'!A65</f>
        <v>2944230</v>
      </c>
      <c r="C66" s="1" t="s">
        <v>14</v>
      </c>
      <c r="D66" t="str">
        <f>VLOOKUP(B66,'Small Pricelist'!A:L,2,0)</f>
        <v>SERVO 4T 10W-30-20 X 0.9 L PROMO</v>
      </c>
      <c r="E66" s="1" t="s">
        <v>14</v>
      </c>
      <c r="F66">
        <f>VLOOKUP(B66,'Small Pricelist'!A:L,3,0)</f>
        <v>390</v>
      </c>
      <c r="G66" s="1" t="s">
        <v>14</v>
      </c>
      <c r="H66">
        <f>VLOOKUP(B66,'Small Pricelist'!A:L,4,0)</f>
        <v>307.59300000000002</v>
      </c>
      <c r="I66" s="1" t="s">
        <v>14</v>
      </c>
      <c r="J66">
        <f>VLOOKUP(B66,'Small Pricelist'!A:L,5,0)</f>
        <v>10</v>
      </c>
      <c r="K66" s="1" t="s">
        <v>14</v>
      </c>
      <c r="L66">
        <f>VLOOKUP(B66,'Small Pricelist'!A:L,6,0)</f>
        <v>0</v>
      </c>
      <c r="M66" s="1" t="s">
        <v>14</v>
      </c>
      <c r="N66">
        <f>VLOOKUP(B66,'Small Pricelist'!A:L,7,0)</f>
        <v>0</v>
      </c>
      <c r="O66" s="1" t="s">
        <v>14</v>
      </c>
      <c r="P66">
        <f>VLOOKUP(B66,'Small Pricelist'!A:L,8,0)</f>
        <v>296.97300000000001</v>
      </c>
      <c r="Q66" s="1" t="s">
        <v>14</v>
      </c>
      <c r="R66">
        <f>VLOOKUP(B66,'Small Pricelist'!A:L,9,0)</f>
        <v>93.026999999999987</v>
      </c>
      <c r="S66" s="1" t="s">
        <v>14</v>
      </c>
      <c r="T66">
        <f>VLOOKUP(B66,'Small Pricelist'!A:L,10,0)</f>
        <v>103.36333333333329</v>
      </c>
      <c r="U66" s="1" t="s">
        <v>14</v>
      </c>
      <c r="V66">
        <f>VLOOKUP(B66,'Small Pricelist'!A:L,11,0)</f>
        <v>31.325069955854566</v>
      </c>
      <c r="W66" s="1" t="s">
        <v>14</v>
      </c>
      <c r="X66">
        <f>VLOOKUP(B66,'Small Pricelist'!A:L,12,0)</f>
        <v>5939.46</v>
      </c>
      <c r="Y66" s="1" t="s">
        <v>12</v>
      </c>
      <c r="Z66" s="25" t="str">
        <f t="shared" si="0"/>
        <v>&lt;tr&gt; &lt;td&gt;2944230&lt;/td&gt;&lt;td&gt;SERVO 4T 10W-30-20 X 0.9 L PROMO&lt;/td&gt;&lt;td&gt;390&lt;/td&gt;&lt;td&gt;307.593&lt;/td&gt;&lt;td&gt;10&lt;/td&gt;&lt;td&gt;0&lt;/td&gt;&lt;td&gt;0&lt;/td&gt;&lt;td&gt;296.973&lt;/td&gt;&lt;td&gt;93.027&lt;/td&gt;&lt;td&gt;103.363333333333&lt;/td&gt;&lt;td&gt;31.3250699558546&lt;/td&gt;&lt;td&gt;5939.46&lt;/td&gt;&lt;/tr&gt;</v>
      </c>
    </row>
    <row r="67" spans="1:26" x14ac:dyDescent="0.3">
      <c r="A67" s="1" t="s">
        <v>13</v>
      </c>
      <c r="B67">
        <f>'Small Pricelist'!A66</f>
        <v>2949184</v>
      </c>
      <c r="C67" s="1" t="s">
        <v>14</v>
      </c>
      <c r="D67" t="str">
        <f>VLOOKUP(B67,'Small Pricelist'!A:L,2,0)</f>
        <v>SERVO 4T SYNTH-20 X 1 L</v>
      </c>
      <c r="E67" s="1" t="s">
        <v>14</v>
      </c>
      <c r="F67">
        <f>VLOOKUP(B67,'Small Pricelist'!A:L,3,0)</f>
        <v>645</v>
      </c>
      <c r="G67" s="1" t="s">
        <v>14</v>
      </c>
      <c r="H67">
        <f>VLOOKUP(B67,'Small Pricelist'!A:L,4,0)</f>
        <v>464.72250000000003</v>
      </c>
      <c r="I67" s="1" t="s">
        <v>14</v>
      </c>
      <c r="J67">
        <f>VLOOKUP(B67,'Small Pricelist'!A:L,5,0)</f>
        <v>25</v>
      </c>
      <c r="K67" s="1" t="s">
        <v>14</v>
      </c>
      <c r="L67">
        <f>VLOOKUP(B67,'Small Pricelist'!A:L,6,0)</f>
        <v>0</v>
      </c>
      <c r="M67" s="1" t="s">
        <v>14</v>
      </c>
      <c r="N67">
        <f>VLOOKUP(B67,'Small Pricelist'!A:L,7,0)</f>
        <v>0</v>
      </c>
      <c r="O67" s="1" t="s">
        <v>14</v>
      </c>
      <c r="P67">
        <f>VLOOKUP(B67,'Small Pricelist'!A:L,8,0)</f>
        <v>435.22250000000003</v>
      </c>
      <c r="Q67" s="1" t="s">
        <v>14</v>
      </c>
      <c r="R67">
        <f>VLOOKUP(B67,'Small Pricelist'!A:L,9,0)</f>
        <v>209.77749999999997</v>
      </c>
      <c r="S67" s="1" t="s">
        <v>14</v>
      </c>
      <c r="T67">
        <f>VLOOKUP(B67,'Small Pricelist'!A:L,10,0)</f>
        <v>209.77749999999997</v>
      </c>
      <c r="U67" s="1" t="s">
        <v>14</v>
      </c>
      <c r="V67">
        <f>VLOOKUP(B67,'Small Pricelist'!A:L,11,0)</f>
        <v>48.200058590720829</v>
      </c>
      <c r="W67" s="1" t="s">
        <v>14</v>
      </c>
      <c r="X67">
        <f>VLOOKUP(B67,'Small Pricelist'!A:L,12,0)</f>
        <v>8704.4500000000062</v>
      </c>
      <c r="Y67" s="1" t="s">
        <v>12</v>
      </c>
      <c r="Z67" s="25" t="str">
        <f t="shared" ref="Z67:Z130" si="1">CONCATENATE(A67,B67,C67,D67,E67,F67,G67,H67,I67,J67,K67,L67,M67,N67,O67,P67,Q67,R67,S67,T67,U67,V67,W67,X67,Y67)</f>
        <v>&lt;tr&gt; &lt;td&gt;2949184&lt;/td&gt;&lt;td&gt;SERVO 4T SYNTH-20 X 1 L&lt;/td&gt;&lt;td&gt;645&lt;/td&gt;&lt;td&gt;464.7225&lt;/td&gt;&lt;td&gt;25&lt;/td&gt;&lt;td&gt;0&lt;/td&gt;&lt;td&gt;0&lt;/td&gt;&lt;td&gt;435.2225&lt;/td&gt;&lt;td&gt;209.7775&lt;/td&gt;&lt;td&gt;209.7775&lt;/td&gt;&lt;td&gt;48.2000585907208&lt;/td&gt;&lt;td&gt;8704.45000000001&lt;/td&gt;&lt;/tr&gt;</v>
      </c>
    </row>
    <row r="68" spans="1:26" x14ac:dyDescent="0.3">
      <c r="A68" s="1" t="s">
        <v>13</v>
      </c>
      <c r="B68">
        <f>'Small Pricelist'!A67</f>
        <v>2953213</v>
      </c>
      <c r="C68" s="1" t="s">
        <v>14</v>
      </c>
      <c r="D68" t="str">
        <f>VLOOKUP(B68,'Small Pricelist'!A:L,2,0)</f>
        <v>HY.SERVO SYNTH PLUS 5W-30-4x3.5L HDPE</v>
      </c>
      <c r="E68" s="1" t="s">
        <v>14</v>
      </c>
      <c r="F68">
        <f>VLOOKUP(B68,'Small Pricelist'!A:L,3,0)</f>
        <v>3255</v>
      </c>
      <c r="G68" s="1" t="s">
        <v>14</v>
      </c>
      <c r="H68">
        <f>VLOOKUP(B68,'Small Pricelist'!A:L,4,0)</f>
        <v>2554.8494999999998</v>
      </c>
      <c r="I68" s="1" t="s">
        <v>14</v>
      </c>
      <c r="J68">
        <f>VLOOKUP(B68,'Small Pricelist'!A:L,5,0)</f>
        <v>0</v>
      </c>
      <c r="K68" s="1" t="s">
        <v>14</v>
      </c>
      <c r="L68">
        <f>VLOOKUP(B68,'Small Pricelist'!A:L,6,0)</f>
        <v>0</v>
      </c>
      <c r="M68" s="1" t="s">
        <v>14</v>
      </c>
      <c r="N68">
        <f>VLOOKUP(B68,'Small Pricelist'!A:L,7,0)</f>
        <v>0</v>
      </c>
      <c r="O68" s="1" t="s">
        <v>14</v>
      </c>
      <c r="P68">
        <f>VLOOKUP(B68,'Small Pricelist'!A:L,8,0)</f>
        <v>2554.8494999999998</v>
      </c>
      <c r="Q68" s="1" t="s">
        <v>14</v>
      </c>
      <c r="R68">
        <f>VLOOKUP(B68,'Small Pricelist'!A:L,9,0)</f>
        <v>700.15050000000019</v>
      </c>
      <c r="S68" s="1" t="s">
        <v>14</v>
      </c>
      <c r="T68">
        <f>VLOOKUP(B68,'Small Pricelist'!A:L,10,0)</f>
        <v>200.04300000000001</v>
      </c>
      <c r="U68" s="1" t="s">
        <v>14</v>
      </c>
      <c r="V68">
        <f>VLOOKUP(B68,'Small Pricelist'!A:L,11,0)</f>
        <v>27.404764938208697</v>
      </c>
      <c r="W68" s="1" t="s">
        <v>14</v>
      </c>
      <c r="X68">
        <f>VLOOKUP(B68,'Small Pricelist'!A:L,12,0)</f>
        <v>10219.398000000001</v>
      </c>
      <c r="Y68" s="1" t="s">
        <v>12</v>
      </c>
      <c r="Z68" s="25" t="str">
        <f t="shared" si="1"/>
        <v>&lt;tr&gt; &lt;td&gt;2953213&lt;/td&gt;&lt;td&gt;HY.SERVO SYNTH PLUS 5W-30-4x3.5L HDPE&lt;/td&gt;&lt;td&gt;3255&lt;/td&gt;&lt;td&gt;2554.8495&lt;/td&gt;&lt;td&gt;0&lt;/td&gt;&lt;td&gt;0&lt;/td&gt;&lt;td&gt;0&lt;/td&gt;&lt;td&gt;2554.8495&lt;/td&gt;&lt;td&gt;700.1505&lt;/td&gt;&lt;td&gt;200.043&lt;/td&gt;&lt;td&gt;27.4047649382087&lt;/td&gt;&lt;td&gt;10219.398&lt;/td&gt;&lt;/tr&gt;</v>
      </c>
    </row>
    <row r="69" spans="1:26" x14ac:dyDescent="0.3">
      <c r="A69" s="1" t="s">
        <v>13</v>
      </c>
      <c r="B69">
        <f>'Small Pricelist'!A68</f>
        <v>2960184</v>
      </c>
      <c r="C69" s="1" t="s">
        <v>14</v>
      </c>
      <c r="D69" t="str">
        <f>VLOOKUP(B69,'Small Pricelist'!A:L,2,0)</f>
        <v>SERVO FUTURA SYNTH 0W-40-20 X 1 L</v>
      </c>
      <c r="E69" s="1" t="s">
        <v>14</v>
      </c>
      <c r="F69">
        <f>VLOOKUP(B69,'Small Pricelist'!A:L,3,0)</f>
        <v>1210</v>
      </c>
      <c r="G69" s="1" t="s">
        <v>14</v>
      </c>
      <c r="H69">
        <f>VLOOKUP(B69,'Small Pricelist'!A:L,4,0)</f>
        <v>804.77100000000007</v>
      </c>
      <c r="I69" s="1" t="s">
        <v>14</v>
      </c>
      <c r="J69">
        <f>VLOOKUP(B69,'Small Pricelist'!A:L,5,0)</f>
        <v>0</v>
      </c>
      <c r="K69" s="1" t="s">
        <v>14</v>
      </c>
      <c r="L69">
        <f>VLOOKUP(B69,'Small Pricelist'!A:L,6,0)</f>
        <v>0</v>
      </c>
      <c r="M69" s="1" t="s">
        <v>14</v>
      </c>
      <c r="N69">
        <f>VLOOKUP(B69,'Small Pricelist'!A:L,7,0)</f>
        <v>0</v>
      </c>
      <c r="O69" s="1" t="s">
        <v>14</v>
      </c>
      <c r="P69">
        <f>VLOOKUP(B69,'Small Pricelist'!A:L,8,0)</f>
        <v>804.77100000000019</v>
      </c>
      <c r="Q69" s="1" t="s">
        <v>14</v>
      </c>
      <c r="R69">
        <f>VLOOKUP(B69,'Small Pricelist'!A:L,9,0)</f>
        <v>405.22899999999981</v>
      </c>
      <c r="S69" s="1" t="s">
        <v>14</v>
      </c>
      <c r="T69">
        <f>VLOOKUP(B69,'Small Pricelist'!A:L,10,0)</f>
        <v>405.22899999999981</v>
      </c>
      <c r="U69" s="1" t="s">
        <v>14</v>
      </c>
      <c r="V69">
        <f>VLOOKUP(B69,'Small Pricelist'!A:L,11,0)</f>
        <v>50.353330326266686</v>
      </c>
      <c r="W69" s="1" t="s">
        <v>14</v>
      </c>
      <c r="X69">
        <f>VLOOKUP(B69,'Small Pricelist'!A:L,12,0)</f>
        <v>16095.420000000015</v>
      </c>
      <c r="Y69" s="1" t="s">
        <v>12</v>
      </c>
      <c r="Z69" s="25" t="str">
        <f t="shared" si="1"/>
        <v>&lt;tr&gt; &lt;td&gt;2960184&lt;/td&gt;&lt;td&gt;SERVO FUTURA SYNTH 0W-40-20 X 1 L&lt;/td&gt;&lt;td&gt;1210&lt;/td&gt;&lt;td&gt;804.771&lt;/td&gt;&lt;td&gt;0&lt;/td&gt;&lt;td&gt;0&lt;/td&gt;&lt;td&gt;0&lt;/td&gt;&lt;td&gt;804.771&lt;/td&gt;&lt;td&gt;405.229&lt;/td&gt;&lt;td&gt;405.229&lt;/td&gt;&lt;td&gt;50.3533303262667&lt;/td&gt;&lt;td&gt;16095.42&lt;/td&gt;&lt;/tr&gt;</v>
      </c>
    </row>
    <row r="70" spans="1:26" x14ac:dyDescent="0.3">
      <c r="A70" s="1" t="s">
        <v>13</v>
      </c>
      <c r="B70">
        <f>'Small Pricelist'!A69</f>
        <v>2960222</v>
      </c>
      <c r="C70" s="1" t="s">
        <v>14</v>
      </c>
      <c r="D70" t="str">
        <f>VLOOKUP(B70,'Small Pricelist'!A:L,2,0)</f>
        <v>SERVO FUTURA SYNTH 0W-40-4 x 4 L</v>
      </c>
      <c r="E70" s="1" t="s">
        <v>14</v>
      </c>
      <c r="F70">
        <f>VLOOKUP(B70,'Small Pricelist'!A:L,3,0)</f>
        <v>4840</v>
      </c>
      <c r="G70" s="1" t="s">
        <v>14</v>
      </c>
      <c r="H70">
        <f>VLOOKUP(B70,'Small Pricelist'!A:L,4,0)</f>
        <v>3219.0840000000003</v>
      </c>
      <c r="I70" s="1" t="s">
        <v>14</v>
      </c>
      <c r="J70">
        <f>VLOOKUP(B70,'Small Pricelist'!A:L,5,0)</f>
        <v>0</v>
      </c>
      <c r="K70" s="1" t="s">
        <v>14</v>
      </c>
      <c r="L70">
        <f>VLOOKUP(B70,'Small Pricelist'!A:L,6,0)</f>
        <v>0</v>
      </c>
      <c r="M70" s="1" t="s">
        <v>14</v>
      </c>
      <c r="N70">
        <f>VLOOKUP(B70,'Small Pricelist'!A:L,7,0)</f>
        <v>0</v>
      </c>
      <c r="O70" s="1" t="s">
        <v>14</v>
      </c>
      <c r="P70">
        <f>VLOOKUP(B70,'Small Pricelist'!A:L,8,0)</f>
        <v>3219.0840000000007</v>
      </c>
      <c r="Q70" s="1" t="s">
        <v>14</v>
      </c>
      <c r="R70">
        <f>VLOOKUP(B70,'Small Pricelist'!A:L,9,0)</f>
        <v>1620.9159999999993</v>
      </c>
      <c r="S70" s="1" t="s">
        <v>14</v>
      </c>
      <c r="T70">
        <f>VLOOKUP(B70,'Small Pricelist'!A:L,10,0)</f>
        <v>405.22899999999981</v>
      </c>
      <c r="U70" s="1" t="s">
        <v>14</v>
      </c>
      <c r="V70">
        <f>VLOOKUP(B70,'Small Pricelist'!A:L,11,0)</f>
        <v>50.353330326266686</v>
      </c>
      <c r="W70" s="1" t="s">
        <v>14</v>
      </c>
      <c r="X70">
        <f>VLOOKUP(B70,'Small Pricelist'!A:L,12,0)</f>
        <v>12876.336000000012</v>
      </c>
      <c r="Y70" s="1" t="s">
        <v>12</v>
      </c>
      <c r="Z70" s="25" t="str">
        <f t="shared" si="1"/>
        <v>&lt;tr&gt; &lt;td&gt;2960222&lt;/td&gt;&lt;td&gt;SERVO FUTURA SYNTH 0W-40-4 x 4 L&lt;/td&gt;&lt;td&gt;4840&lt;/td&gt;&lt;td&gt;3219.084&lt;/td&gt;&lt;td&gt;0&lt;/td&gt;&lt;td&gt;0&lt;/td&gt;&lt;td&gt;0&lt;/td&gt;&lt;td&gt;3219.084&lt;/td&gt;&lt;td&gt;1620.916&lt;/td&gt;&lt;td&gt;405.229&lt;/td&gt;&lt;td&gt;50.3533303262667&lt;/td&gt;&lt;td&gt;12876.336&lt;/td&gt;&lt;/tr&gt;</v>
      </c>
    </row>
    <row r="71" spans="1:26" x14ac:dyDescent="0.3">
      <c r="A71" s="1" t="s">
        <v>13</v>
      </c>
      <c r="B71">
        <f>'Small Pricelist'!A70</f>
        <v>2967111</v>
      </c>
      <c r="C71" s="1" t="s">
        <v>14</v>
      </c>
      <c r="D71" t="str">
        <f>VLOOKUP(B71,'Small Pricelist'!A:L,2,0)</f>
        <v>SERVO FUTURA G PLUS 5W-30-4X3.5 L PROMO</v>
      </c>
      <c r="E71" s="1" t="s">
        <v>14</v>
      </c>
      <c r="F71">
        <f>VLOOKUP(B71,'Small Pricelist'!A:L,3,0)</f>
        <v>2163</v>
      </c>
      <c r="G71" s="1" t="s">
        <v>14</v>
      </c>
      <c r="H71">
        <f>VLOOKUP(B71,'Small Pricelist'!A:L,4,0)</f>
        <v>1466.5139999999999</v>
      </c>
      <c r="I71" s="1" t="s">
        <v>14</v>
      </c>
      <c r="J71">
        <f>VLOOKUP(B71,'Small Pricelist'!A:L,5,0)</f>
        <v>39</v>
      </c>
      <c r="K71" s="1" t="s">
        <v>14</v>
      </c>
      <c r="L71">
        <f>VLOOKUP(B71,'Small Pricelist'!A:L,6,0)</f>
        <v>0</v>
      </c>
      <c r="M71" s="1" t="s">
        <v>14</v>
      </c>
      <c r="N71">
        <f>VLOOKUP(B71,'Small Pricelist'!A:L,7,0)</f>
        <v>0</v>
      </c>
      <c r="O71" s="1" t="s">
        <v>14</v>
      </c>
      <c r="P71">
        <f>VLOOKUP(B71,'Small Pricelist'!A:L,8,0)</f>
        <v>1305.444</v>
      </c>
      <c r="Q71" s="1" t="s">
        <v>14</v>
      </c>
      <c r="R71">
        <f>VLOOKUP(B71,'Small Pricelist'!A:L,9,0)</f>
        <v>857.55600000000004</v>
      </c>
      <c r="S71" s="1" t="s">
        <v>14</v>
      </c>
      <c r="T71">
        <f>VLOOKUP(B71,'Small Pricelist'!A:L,10,0)</f>
        <v>245.01600000000002</v>
      </c>
      <c r="U71" s="1" t="s">
        <v>14</v>
      </c>
      <c r="V71">
        <f>VLOOKUP(B71,'Small Pricelist'!A:L,11,0)</f>
        <v>65.690753490766369</v>
      </c>
      <c r="W71" s="1" t="s">
        <v>14</v>
      </c>
      <c r="X71">
        <f>VLOOKUP(B71,'Small Pricelist'!A:L,12,0)</f>
        <v>5221.7759999999998</v>
      </c>
      <c r="Y71" s="1" t="s">
        <v>12</v>
      </c>
      <c r="Z71" s="25" t="str">
        <f t="shared" si="1"/>
        <v>&lt;tr&gt; &lt;td&gt;2967111&lt;/td&gt;&lt;td&gt;SERVO FUTURA G PLUS 5W-30-4X3.5 L PROMO&lt;/td&gt;&lt;td&gt;2163&lt;/td&gt;&lt;td&gt;1466.514&lt;/td&gt;&lt;td&gt;39&lt;/td&gt;&lt;td&gt;0&lt;/td&gt;&lt;td&gt;0&lt;/td&gt;&lt;td&gt;1305.444&lt;/td&gt;&lt;td&gt;857.556&lt;/td&gt;&lt;td&gt;245.016&lt;/td&gt;&lt;td&gt;65.6907534907664&lt;/td&gt;&lt;td&gt;5221.776&lt;/td&gt;&lt;/tr&gt;</v>
      </c>
    </row>
    <row r="72" spans="1:26" x14ac:dyDescent="0.3">
      <c r="A72" s="1" t="s">
        <v>13</v>
      </c>
      <c r="B72">
        <f>'Small Pricelist'!A71</f>
        <v>2967184</v>
      </c>
      <c r="C72" s="1" t="s">
        <v>14</v>
      </c>
      <c r="D72" t="str">
        <f>VLOOKUP(B72,'Small Pricelist'!A:L,2,0)</f>
        <v>SERVO FUTURA G PLUS 5W-30-20 X 1 L</v>
      </c>
      <c r="E72" s="1" t="s">
        <v>14</v>
      </c>
      <c r="F72">
        <f>VLOOKUP(B72,'Small Pricelist'!A:L,3,0)</f>
        <v>632</v>
      </c>
      <c r="G72" s="1" t="s">
        <v>14</v>
      </c>
      <c r="H72">
        <f>VLOOKUP(B72,'Small Pricelist'!A:L,4,0)</f>
        <v>428.81199999999995</v>
      </c>
      <c r="I72" s="1" t="s">
        <v>14</v>
      </c>
      <c r="J72">
        <f>VLOOKUP(B72,'Small Pricelist'!A:L,5,0)</f>
        <v>34</v>
      </c>
      <c r="K72" s="1" t="s">
        <v>14</v>
      </c>
      <c r="L72">
        <f>VLOOKUP(B72,'Small Pricelist'!A:L,6,0)</f>
        <v>0</v>
      </c>
      <c r="M72" s="1" t="s">
        <v>14</v>
      </c>
      <c r="N72">
        <f>VLOOKUP(B72,'Small Pricelist'!A:L,7,0)</f>
        <v>0</v>
      </c>
      <c r="O72" s="1" t="s">
        <v>14</v>
      </c>
      <c r="P72">
        <f>VLOOKUP(B72,'Small Pricelist'!A:L,8,0)</f>
        <v>388.69199999999995</v>
      </c>
      <c r="Q72" s="1" t="s">
        <v>14</v>
      </c>
      <c r="R72">
        <f>VLOOKUP(B72,'Small Pricelist'!A:L,9,0)</f>
        <v>243.30800000000005</v>
      </c>
      <c r="S72" s="1" t="s">
        <v>14</v>
      </c>
      <c r="T72">
        <f>VLOOKUP(B72,'Small Pricelist'!A:L,10,0)</f>
        <v>243.30800000000005</v>
      </c>
      <c r="U72" s="1" t="s">
        <v>14</v>
      </c>
      <c r="V72">
        <f>VLOOKUP(B72,'Small Pricelist'!A:L,11,0)</f>
        <v>62.596606053121775</v>
      </c>
      <c r="W72" s="1" t="s">
        <v>14</v>
      </c>
      <c r="X72">
        <f>VLOOKUP(B72,'Small Pricelist'!A:L,12,0)</f>
        <v>7773.8400000000047</v>
      </c>
      <c r="Y72" s="1" t="s">
        <v>12</v>
      </c>
      <c r="Z72" s="25" t="str">
        <f t="shared" si="1"/>
        <v>&lt;tr&gt; &lt;td&gt;2967184&lt;/td&gt;&lt;td&gt;SERVO FUTURA G PLUS 5W-30-20 X 1 L&lt;/td&gt;&lt;td&gt;632&lt;/td&gt;&lt;td&gt;428.812&lt;/td&gt;&lt;td&gt;34&lt;/td&gt;&lt;td&gt;0&lt;/td&gt;&lt;td&gt;0&lt;/td&gt;&lt;td&gt;388.692&lt;/td&gt;&lt;td&gt;243.308&lt;/td&gt;&lt;td&gt;243.308&lt;/td&gt;&lt;td&gt;62.5966060531218&lt;/td&gt;&lt;td&gt;7773.84&lt;/td&gt;&lt;/tr&gt;</v>
      </c>
    </row>
    <row r="73" spans="1:26" x14ac:dyDescent="0.3">
      <c r="A73" s="1" t="s">
        <v>13</v>
      </c>
      <c r="B73">
        <f>'Small Pricelist'!A72</f>
        <v>2967204</v>
      </c>
      <c r="C73" s="1" t="s">
        <v>14</v>
      </c>
      <c r="D73" t="str">
        <f>VLOOKUP(B73,'Small Pricelist'!A:L,2,0)</f>
        <v>SERVO FUTURA G PLUS 5W-30-4 X 3 L PROMO</v>
      </c>
      <c r="E73" s="1" t="s">
        <v>14</v>
      </c>
      <c r="F73">
        <f>VLOOKUP(B73,'Small Pricelist'!A:L,3,0)</f>
        <v>1856</v>
      </c>
      <c r="G73" s="1" t="s">
        <v>14</v>
      </c>
      <c r="H73">
        <f>VLOOKUP(B73,'Small Pricelist'!A:L,4,0)</f>
        <v>1259.1104</v>
      </c>
      <c r="I73" s="1" t="s">
        <v>14</v>
      </c>
      <c r="J73">
        <f>VLOOKUP(B73,'Small Pricelist'!A:L,5,0)</f>
        <v>39</v>
      </c>
      <c r="K73" s="1" t="s">
        <v>14</v>
      </c>
      <c r="L73">
        <f>VLOOKUP(B73,'Small Pricelist'!A:L,6,0)</f>
        <v>0</v>
      </c>
      <c r="M73" s="1" t="s">
        <v>14</v>
      </c>
      <c r="N73">
        <f>VLOOKUP(B73,'Small Pricelist'!A:L,7,0)</f>
        <v>0</v>
      </c>
      <c r="O73" s="1" t="s">
        <v>14</v>
      </c>
      <c r="P73">
        <f>VLOOKUP(B73,'Small Pricelist'!A:L,8,0)</f>
        <v>1121.0503999999999</v>
      </c>
      <c r="Q73" s="1" t="s">
        <v>14</v>
      </c>
      <c r="R73">
        <f>VLOOKUP(B73,'Small Pricelist'!A:L,9,0)</f>
        <v>734.94960000000015</v>
      </c>
      <c r="S73" s="1" t="s">
        <v>14</v>
      </c>
      <c r="T73">
        <f>VLOOKUP(B73,'Small Pricelist'!A:L,10,0)</f>
        <v>244.98320000000001</v>
      </c>
      <c r="U73" s="1" t="s">
        <v>14</v>
      </c>
      <c r="V73">
        <f>VLOOKUP(B73,'Small Pricelist'!A:L,11,0)</f>
        <v>65.559015009494686</v>
      </c>
      <c r="W73" s="1" t="s">
        <v>14</v>
      </c>
      <c r="X73">
        <f>VLOOKUP(B73,'Small Pricelist'!A:L,12,0)</f>
        <v>4484.2015999999994</v>
      </c>
      <c r="Y73" s="1" t="s">
        <v>12</v>
      </c>
      <c r="Z73" s="25" t="str">
        <f t="shared" si="1"/>
        <v>&lt;tr&gt; &lt;td&gt;2967204&lt;/td&gt;&lt;td&gt;SERVO FUTURA G PLUS 5W-30-4 X 3 L PROMO&lt;/td&gt;&lt;td&gt;1856&lt;/td&gt;&lt;td&gt;1259.1104&lt;/td&gt;&lt;td&gt;39&lt;/td&gt;&lt;td&gt;0&lt;/td&gt;&lt;td&gt;0&lt;/td&gt;&lt;td&gt;1121.0504&lt;/td&gt;&lt;td&gt;734.9496&lt;/td&gt;&lt;td&gt;244.9832&lt;/td&gt;&lt;td&gt;65.5590150094947&lt;/td&gt;&lt;td&gt;4484.2016&lt;/td&gt;&lt;/tr&gt;</v>
      </c>
    </row>
    <row r="74" spans="1:26" x14ac:dyDescent="0.3">
      <c r="A74" s="1" t="s">
        <v>13</v>
      </c>
      <c r="B74">
        <f>'Small Pricelist'!A73</f>
        <v>2967213</v>
      </c>
      <c r="C74" s="1" t="s">
        <v>14</v>
      </c>
      <c r="D74" t="str">
        <f>VLOOKUP(B74,'Small Pricelist'!A:L,2,0)</f>
        <v>SERVO FUTURA G PLUS 5W-30-4 X 3.5 L</v>
      </c>
      <c r="E74" s="1" t="s">
        <v>14</v>
      </c>
      <c r="F74">
        <f>VLOOKUP(B74,'Small Pricelist'!A:L,3,0)</f>
        <v>2163</v>
      </c>
      <c r="G74" s="1" t="s">
        <v>14</v>
      </c>
      <c r="H74">
        <f>VLOOKUP(B74,'Small Pricelist'!A:L,4,0)</f>
        <v>1466.5139999999999</v>
      </c>
      <c r="I74" s="1" t="s">
        <v>14</v>
      </c>
      <c r="J74">
        <f>VLOOKUP(B74,'Small Pricelist'!A:L,5,0)</f>
        <v>49</v>
      </c>
      <c r="K74" s="1" t="s">
        <v>14</v>
      </c>
      <c r="L74">
        <f>VLOOKUP(B74,'Small Pricelist'!A:L,6,0)</f>
        <v>0</v>
      </c>
      <c r="M74" s="1" t="s">
        <v>14</v>
      </c>
      <c r="N74">
        <f>VLOOKUP(B74,'Small Pricelist'!A:L,7,0)</f>
        <v>0</v>
      </c>
      <c r="O74" s="1" t="s">
        <v>14</v>
      </c>
      <c r="P74">
        <f>VLOOKUP(B74,'Small Pricelist'!A:L,8,0)</f>
        <v>1264.144</v>
      </c>
      <c r="Q74" s="1" t="s">
        <v>14</v>
      </c>
      <c r="R74">
        <f>VLOOKUP(B74,'Small Pricelist'!A:L,9,0)</f>
        <v>898.85599999999999</v>
      </c>
      <c r="S74" s="1" t="s">
        <v>14</v>
      </c>
      <c r="T74">
        <f>VLOOKUP(B74,'Small Pricelist'!A:L,10,0)</f>
        <v>256.81599999999997</v>
      </c>
      <c r="U74" s="1" t="s">
        <v>14</v>
      </c>
      <c r="V74">
        <f>VLOOKUP(B74,'Small Pricelist'!A:L,11,0)</f>
        <v>71.103924869318675</v>
      </c>
      <c r="W74" s="1" t="s">
        <v>14</v>
      </c>
      <c r="X74">
        <f>VLOOKUP(B74,'Small Pricelist'!A:L,12,0)</f>
        <v>5056.5760000000009</v>
      </c>
      <c r="Y74" s="1" t="s">
        <v>12</v>
      </c>
      <c r="Z74" s="25" t="str">
        <f t="shared" si="1"/>
        <v>&lt;tr&gt; &lt;td&gt;2967213&lt;/td&gt;&lt;td&gt;SERVO FUTURA G PLUS 5W-30-4 X 3.5 L&lt;/td&gt;&lt;td&gt;2163&lt;/td&gt;&lt;td&gt;1466.514&lt;/td&gt;&lt;td&gt;49&lt;/td&gt;&lt;td&gt;0&lt;/td&gt;&lt;td&gt;0&lt;/td&gt;&lt;td&gt;1264.144&lt;/td&gt;&lt;td&gt;898.856&lt;/td&gt;&lt;td&gt;256.816&lt;/td&gt;&lt;td&gt;71.1039248693187&lt;/td&gt;&lt;td&gt;5056.576&lt;/td&gt;&lt;/tr&gt;</v>
      </c>
    </row>
    <row r="75" spans="1:26" x14ac:dyDescent="0.3">
      <c r="A75" s="1" t="s">
        <v>13</v>
      </c>
      <c r="B75">
        <f>'Small Pricelist'!A74</f>
        <v>2968213</v>
      </c>
      <c r="C75" s="1" t="s">
        <v>14</v>
      </c>
      <c r="D75" t="str">
        <f>VLOOKUP(B75,'Small Pricelist'!A:L,2,0)</f>
        <v>HY.SERVO ENGINE OIL 5W-30-4x3.5L</v>
      </c>
      <c r="E75" s="1" t="s">
        <v>14</v>
      </c>
      <c r="F75">
        <f>VLOOKUP(B75,'Small Pricelist'!A:L,3,0)</f>
        <v>1502</v>
      </c>
      <c r="G75" s="1" t="s">
        <v>14</v>
      </c>
      <c r="H75">
        <f>VLOOKUP(B75,'Small Pricelist'!A:L,4,0)</f>
        <v>1171.7102</v>
      </c>
      <c r="I75" s="1" t="s">
        <v>14</v>
      </c>
      <c r="J75">
        <f>VLOOKUP(B75,'Small Pricelist'!A:L,5,0)</f>
        <v>15</v>
      </c>
      <c r="K75" s="1" t="s">
        <v>14</v>
      </c>
      <c r="L75">
        <f>VLOOKUP(B75,'Small Pricelist'!A:L,6,0)</f>
        <v>0</v>
      </c>
      <c r="M75" s="1" t="s">
        <v>14</v>
      </c>
      <c r="N75">
        <f>VLOOKUP(B75,'Small Pricelist'!A:L,7,0)</f>
        <v>0</v>
      </c>
      <c r="O75" s="1" t="s">
        <v>14</v>
      </c>
      <c r="P75">
        <f>VLOOKUP(B75,'Small Pricelist'!A:L,8,0)</f>
        <v>1109.7601999999999</v>
      </c>
      <c r="Q75" s="1" t="s">
        <v>14</v>
      </c>
      <c r="R75">
        <f>VLOOKUP(B75,'Small Pricelist'!A:L,9,0)</f>
        <v>392.23980000000006</v>
      </c>
      <c r="S75" s="1" t="s">
        <v>14</v>
      </c>
      <c r="T75">
        <f>VLOOKUP(B75,'Small Pricelist'!A:L,10,0)</f>
        <v>112.06851428571434</v>
      </c>
      <c r="U75" s="1" t="s">
        <v>14</v>
      </c>
      <c r="V75">
        <f>VLOOKUP(B75,'Small Pricelist'!A:L,11,0)</f>
        <v>35.344554616393708</v>
      </c>
      <c r="W75" s="1" t="s">
        <v>14</v>
      </c>
      <c r="X75">
        <f>VLOOKUP(B75,'Small Pricelist'!A:L,12,0)</f>
        <v>4439.0408000000007</v>
      </c>
      <c r="Y75" s="1" t="s">
        <v>12</v>
      </c>
      <c r="Z75" s="25" t="str">
        <f t="shared" si="1"/>
        <v>&lt;tr&gt; &lt;td&gt;2968213&lt;/td&gt;&lt;td&gt;HY.SERVO ENGINE OIL 5W-30-4x3.5L&lt;/td&gt;&lt;td&gt;1502&lt;/td&gt;&lt;td&gt;1171.7102&lt;/td&gt;&lt;td&gt;15&lt;/td&gt;&lt;td&gt;0&lt;/td&gt;&lt;td&gt;0&lt;/td&gt;&lt;td&gt;1109.7602&lt;/td&gt;&lt;td&gt;392.2398&lt;/td&gt;&lt;td&gt;112.068514285714&lt;/td&gt;&lt;td&gt;35.3445546163937&lt;/td&gt;&lt;td&gt;4439.0408&lt;/td&gt;&lt;/tr&gt;</v>
      </c>
    </row>
    <row r="76" spans="1:26" x14ac:dyDescent="0.3">
      <c r="A76" s="1" t="s">
        <v>13</v>
      </c>
      <c r="B76">
        <f>'Small Pricelist'!A75</f>
        <v>2971195</v>
      </c>
      <c r="C76" s="1" t="s">
        <v>14</v>
      </c>
      <c r="D76" t="str">
        <f>VLOOKUP(B76,'Small Pricelist'!A:L,2,0)</f>
        <v>SERVO 4T HD-4 X 2.5 L</v>
      </c>
      <c r="E76" s="1" t="s">
        <v>14</v>
      </c>
      <c r="F76">
        <f>VLOOKUP(B76,'Small Pricelist'!A:L,3,0)</f>
        <v>1181</v>
      </c>
      <c r="G76" s="1" t="s">
        <v>14</v>
      </c>
      <c r="H76">
        <f>VLOOKUP(B76,'Small Pricelist'!A:L,4,0)</f>
        <v>898.26859999999999</v>
      </c>
      <c r="I76" s="1" t="s">
        <v>14</v>
      </c>
      <c r="J76">
        <f>VLOOKUP(B76,'Small Pricelist'!A:L,5,0)</f>
        <v>40</v>
      </c>
      <c r="K76" s="1" t="s">
        <v>14</v>
      </c>
      <c r="L76">
        <f>VLOOKUP(B76,'Small Pricelist'!A:L,6,0)</f>
        <v>0</v>
      </c>
      <c r="M76" s="1" t="s">
        <v>14</v>
      </c>
      <c r="N76">
        <f>VLOOKUP(B76,'Small Pricelist'!A:L,7,0)</f>
        <v>0</v>
      </c>
      <c r="O76" s="1" t="s">
        <v>14</v>
      </c>
      <c r="P76">
        <f>VLOOKUP(B76,'Small Pricelist'!A:L,8,0)</f>
        <v>780.26859999999999</v>
      </c>
      <c r="Q76" s="1" t="s">
        <v>14</v>
      </c>
      <c r="R76">
        <f>VLOOKUP(B76,'Small Pricelist'!A:L,9,0)</f>
        <v>400.73140000000001</v>
      </c>
      <c r="S76" s="1" t="s">
        <v>14</v>
      </c>
      <c r="T76">
        <f>VLOOKUP(B76,'Small Pricelist'!A:L,10,0)</f>
        <v>160.29255999999998</v>
      </c>
      <c r="U76" s="1" t="s">
        <v>14</v>
      </c>
      <c r="V76">
        <f>VLOOKUP(B76,'Small Pricelist'!A:L,11,0)</f>
        <v>51.358134878168883</v>
      </c>
      <c r="W76" s="1" t="s">
        <v>14</v>
      </c>
      <c r="X76">
        <f>VLOOKUP(B76,'Small Pricelist'!A:L,12,0)</f>
        <v>3121.0744</v>
      </c>
      <c r="Y76" s="1" t="s">
        <v>12</v>
      </c>
      <c r="Z76" s="25" t="str">
        <f t="shared" si="1"/>
        <v>&lt;tr&gt; &lt;td&gt;2971195&lt;/td&gt;&lt;td&gt;SERVO 4T HD-4 X 2.5 L&lt;/td&gt;&lt;td&gt;1181&lt;/td&gt;&lt;td&gt;898.2686&lt;/td&gt;&lt;td&gt;40&lt;/td&gt;&lt;td&gt;0&lt;/td&gt;&lt;td&gt;0&lt;/td&gt;&lt;td&gt;780.2686&lt;/td&gt;&lt;td&gt;400.7314&lt;/td&gt;&lt;td&gt;160.29256&lt;/td&gt;&lt;td&gt;51.3581348781689&lt;/td&gt;&lt;td&gt;3121.0744&lt;/td&gt;&lt;/tr&gt;</v>
      </c>
    </row>
    <row r="77" spans="1:26" x14ac:dyDescent="0.3">
      <c r="A77" s="1" t="s">
        <v>13</v>
      </c>
      <c r="B77">
        <f>'Small Pricelist'!A76</f>
        <v>2971225</v>
      </c>
      <c r="C77" s="1" t="s">
        <v>14</v>
      </c>
      <c r="D77" t="str">
        <f>VLOOKUP(B77,'Small Pricelist'!A:L,2,0)</f>
        <v>SERVO 4T HD-20 X 1.2 L</v>
      </c>
      <c r="E77" s="1" t="s">
        <v>14</v>
      </c>
      <c r="F77">
        <f>VLOOKUP(B77,'Small Pricelist'!A:L,3,0)</f>
        <v>592</v>
      </c>
      <c r="G77" s="1" t="s">
        <v>14</v>
      </c>
      <c r="H77">
        <f>VLOOKUP(B77,'Small Pricelist'!A:L,4,0)</f>
        <v>441.57279999999997</v>
      </c>
      <c r="I77" s="1" t="s">
        <v>14</v>
      </c>
      <c r="J77">
        <f>VLOOKUP(B77,'Small Pricelist'!A:L,5,0)</f>
        <v>40</v>
      </c>
      <c r="K77" s="1" t="s">
        <v>14</v>
      </c>
      <c r="L77">
        <f>VLOOKUP(B77,'Small Pricelist'!A:L,6,0)</f>
        <v>0</v>
      </c>
      <c r="M77" s="1" t="s">
        <v>14</v>
      </c>
      <c r="N77">
        <f>VLOOKUP(B77,'Small Pricelist'!A:L,7,0)</f>
        <v>0</v>
      </c>
      <c r="O77" s="1" t="s">
        <v>14</v>
      </c>
      <c r="P77">
        <f>VLOOKUP(B77,'Small Pricelist'!A:L,8,0)</f>
        <v>384.93279999999993</v>
      </c>
      <c r="Q77" s="1" t="s">
        <v>14</v>
      </c>
      <c r="R77">
        <f>VLOOKUP(B77,'Small Pricelist'!A:L,9,0)</f>
        <v>207.06720000000007</v>
      </c>
      <c r="S77" s="1" t="s">
        <v>14</v>
      </c>
      <c r="T77">
        <f>VLOOKUP(B77,'Small Pricelist'!A:L,10,0)</f>
        <v>172.5560000000001</v>
      </c>
      <c r="U77" s="1" t="s">
        <v>14</v>
      </c>
      <c r="V77">
        <f>VLOOKUP(B77,'Small Pricelist'!A:L,11,0)</f>
        <v>53.793077648877961</v>
      </c>
      <c r="W77" s="1" t="s">
        <v>14</v>
      </c>
      <c r="X77">
        <f>VLOOKUP(B77,'Small Pricelist'!A:L,12,0)</f>
        <v>7698.655999999999</v>
      </c>
      <c r="Y77" s="1" t="s">
        <v>12</v>
      </c>
      <c r="Z77" s="25" t="str">
        <f t="shared" si="1"/>
        <v>&lt;tr&gt; &lt;td&gt;2971225&lt;/td&gt;&lt;td&gt;SERVO 4T HD-20 X 1.2 L&lt;/td&gt;&lt;td&gt;592&lt;/td&gt;&lt;td&gt;441.5728&lt;/td&gt;&lt;td&gt;40&lt;/td&gt;&lt;td&gt;0&lt;/td&gt;&lt;td&gt;0&lt;/td&gt;&lt;td&gt;384.9328&lt;/td&gt;&lt;td&gt;207.0672&lt;/td&gt;&lt;td&gt;172.556&lt;/td&gt;&lt;td&gt;53.793077648878&lt;/td&gt;&lt;td&gt;7698.656&lt;/td&gt;&lt;/tr&gt;</v>
      </c>
    </row>
    <row r="78" spans="1:26" x14ac:dyDescent="0.3">
      <c r="A78" s="1" t="s">
        <v>13</v>
      </c>
      <c r="B78">
        <f>'Small Pricelist'!A77</f>
        <v>2972184</v>
      </c>
      <c r="C78" s="1" t="s">
        <v>14</v>
      </c>
      <c r="D78" t="str">
        <f>VLOOKUP(B78,'Small Pricelist'!A:L,2,0)</f>
        <v>HYU SERVO BRAKE FLUID DOT 4 LV-20 X 1 L</v>
      </c>
      <c r="E78" s="1" t="s">
        <v>14</v>
      </c>
      <c r="F78">
        <f>VLOOKUP(B78,'Small Pricelist'!A:L,3,0)</f>
        <v>600</v>
      </c>
      <c r="G78" s="1" t="s">
        <v>14</v>
      </c>
      <c r="H78">
        <f>VLOOKUP(B78,'Small Pricelist'!A:L,4,0)</f>
        <v>570</v>
      </c>
      <c r="I78" s="1" t="s">
        <v>14</v>
      </c>
      <c r="J78">
        <f>VLOOKUP(B78,'Small Pricelist'!A:L,5,0)</f>
        <v>0</v>
      </c>
      <c r="K78" s="1" t="s">
        <v>14</v>
      </c>
      <c r="L78">
        <f>VLOOKUP(B78,'Small Pricelist'!A:L,6,0)</f>
        <v>0</v>
      </c>
      <c r="M78" s="1" t="s">
        <v>14</v>
      </c>
      <c r="N78">
        <f>VLOOKUP(B78,'Small Pricelist'!A:L,7,0)</f>
        <v>0</v>
      </c>
      <c r="O78" s="1" t="s">
        <v>14</v>
      </c>
      <c r="P78">
        <f>VLOOKUP(B78,'Small Pricelist'!A:L,8,0)</f>
        <v>570</v>
      </c>
      <c r="Q78" s="1" t="s">
        <v>14</v>
      </c>
      <c r="R78">
        <f>VLOOKUP(B78,'Small Pricelist'!A:L,9,0)</f>
        <v>30</v>
      </c>
      <c r="S78" s="1" t="s">
        <v>14</v>
      </c>
      <c r="T78">
        <f>VLOOKUP(B78,'Small Pricelist'!A:L,10,0)</f>
        <v>30</v>
      </c>
      <c r="U78" s="1" t="s">
        <v>14</v>
      </c>
      <c r="V78">
        <f>VLOOKUP(B78,'Small Pricelist'!A:L,11,0)</f>
        <v>5.2631578947368416</v>
      </c>
      <c r="W78" s="1" t="s">
        <v>14</v>
      </c>
      <c r="X78">
        <f>VLOOKUP(B78,'Small Pricelist'!A:L,12,0)</f>
        <v>11400.000000000007</v>
      </c>
      <c r="Y78" s="1" t="s">
        <v>12</v>
      </c>
      <c r="Z78" s="25" t="str">
        <f t="shared" si="1"/>
        <v>&lt;tr&gt; &lt;td&gt;2972184&lt;/td&gt;&lt;td&gt;HYU SERVO BRAKE FLUID DOT 4 LV-20 X 1 L&lt;/td&gt;&lt;td&gt;600&lt;/td&gt;&lt;td&gt;570&lt;/td&gt;&lt;td&gt;0&lt;/td&gt;&lt;td&gt;0&lt;/td&gt;&lt;td&gt;0&lt;/td&gt;&lt;td&gt;570&lt;/td&gt;&lt;td&gt;30&lt;/td&gt;&lt;td&gt;30&lt;/td&gt;&lt;td&gt;5.26315789473684&lt;/td&gt;&lt;td&gt;11400&lt;/td&gt;&lt;/tr&gt;</v>
      </c>
    </row>
    <row r="79" spans="1:26" x14ac:dyDescent="0.3">
      <c r="A79" s="1" t="s">
        <v>13</v>
      </c>
      <c r="B79">
        <f>'Small Pricelist'!A78</f>
        <v>3001265</v>
      </c>
      <c r="C79" s="1" t="s">
        <v>14</v>
      </c>
      <c r="D79" t="str">
        <f>VLOOKUP(B79,'Small Pricelist'!A:L,2,0)</f>
        <v>SERVOSYSTEM 32-20L BUC</v>
      </c>
      <c r="E79" s="1" t="s">
        <v>14</v>
      </c>
      <c r="F79">
        <f>VLOOKUP(B79,'Small Pricelist'!A:L,3,0)</f>
        <v>5910</v>
      </c>
      <c r="G79" s="1" t="s">
        <v>14</v>
      </c>
      <c r="H79">
        <f>VLOOKUP(B79,'Small Pricelist'!A:L,4,0)</f>
        <v>5582.5859999999993</v>
      </c>
      <c r="I79" s="1" t="s">
        <v>14</v>
      </c>
      <c r="J79">
        <f>VLOOKUP(B79,'Small Pricelist'!A:L,5,0)</f>
        <v>0</v>
      </c>
      <c r="K79" s="1" t="s">
        <v>14</v>
      </c>
      <c r="L79">
        <f>VLOOKUP(B79,'Small Pricelist'!A:L,6,0)</f>
        <v>0</v>
      </c>
      <c r="M79" s="1" t="s">
        <v>14</v>
      </c>
      <c r="N79">
        <f>VLOOKUP(B79,'Small Pricelist'!A:L,7,0)</f>
        <v>0</v>
      </c>
      <c r="O79" s="1" t="s">
        <v>14</v>
      </c>
      <c r="P79">
        <f>VLOOKUP(B79,'Small Pricelist'!A:L,8,0)</f>
        <v>5582.5859999999993</v>
      </c>
      <c r="Q79" s="1" t="s">
        <v>14</v>
      </c>
      <c r="R79">
        <f>VLOOKUP(B79,'Small Pricelist'!A:L,9,0)</f>
        <v>327.41400000000067</v>
      </c>
      <c r="S79" s="1" t="s">
        <v>14</v>
      </c>
      <c r="T79">
        <f>VLOOKUP(B79,'Small Pricelist'!A:L,10,0)</f>
        <v>16.370700000000056</v>
      </c>
      <c r="U79" s="1" t="s">
        <v>14</v>
      </c>
      <c r="V79">
        <f>VLOOKUP(B79,'Small Pricelist'!A:L,11,0)</f>
        <v>5.8649163667160833</v>
      </c>
      <c r="W79" s="1" t="s">
        <v>14</v>
      </c>
      <c r="X79">
        <f>VLOOKUP(B79,'Small Pricelist'!A:L,12,0)</f>
        <v>5582.586000000003</v>
      </c>
      <c r="Y79" s="1" t="s">
        <v>12</v>
      </c>
      <c r="Z79" s="25" t="str">
        <f t="shared" si="1"/>
        <v>&lt;tr&gt; &lt;td&gt;3001265&lt;/td&gt;&lt;td&gt;SERVOSYSTEM 32-20L BUC&lt;/td&gt;&lt;td&gt;5910&lt;/td&gt;&lt;td&gt;5582.586&lt;/td&gt;&lt;td&gt;0&lt;/td&gt;&lt;td&gt;0&lt;/td&gt;&lt;td&gt;0&lt;/td&gt;&lt;td&gt;5582.586&lt;/td&gt;&lt;td&gt;327.414000000001&lt;/td&gt;&lt;td&gt;16.3707000000001&lt;/td&gt;&lt;td&gt;5.86491636671608&lt;/td&gt;&lt;td&gt;5582.586&lt;/td&gt;&lt;/tr&gt;</v>
      </c>
    </row>
    <row r="80" spans="1:26" x14ac:dyDescent="0.3">
      <c r="A80" s="1" t="s">
        <v>13</v>
      </c>
      <c r="B80">
        <f>'Small Pricelist'!A79</f>
        <v>3002265</v>
      </c>
      <c r="C80" s="1" t="s">
        <v>14</v>
      </c>
      <c r="D80" t="str">
        <f>VLOOKUP(B80,'Small Pricelist'!A:L,2,0)</f>
        <v>SERVOSYSTEM 46 - 20L BUC</v>
      </c>
      <c r="E80" s="1" t="s">
        <v>14</v>
      </c>
      <c r="F80">
        <f>VLOOKUP(B80,'Small Pricelist'!A:L,3,0)</f>
        <v>5982</v>
      </c>
      <c r="G80" s="1" t="s">
        <v>14</v>
      </c>
      <c r="H80">
        <f>VLOOKUP(B80,'Small Pricelist'!A:L,4,0)</f>
        <v>5649.4007999999994</v>
      </c>
      <c r="I80" s="1" t="s">
        <v>14</v>
      </c>
      <c r="J80">
        <f>VLOOKUP(B80,'Small Pricelist'!A:L,5,0)</f>
        <v>0</v>
      </c>
      <c r="K80" s="1" t="s">
        <v>14</v>
      </c>
      <c r="L80">
        <f>VLOOKUP(B80,'Small Pricelist'!A:L,6,0)</f>
        <v>0</v>
      </c>
      <c r="M80" s="1" t="s">
        <v>14</v>
      </c>
      <c r="N80">
        <f>VLOOKUP(B80,'Small Pricelist'!A:L,7,0)</f>
        <v>0</v>
      </c>
      <c r="O80" s="1" t="s">
        <v>14</v>
      </c>
      <c r="P80">
        <f>VLOOKUP(B80,'Small Pricelist'!A:L,8,0)</f>
        <v>5649.4007999999985</v>
      </c>
      <c r="Q80" s="1" t="s">
        <v>14</v>
      </c>
      <c r="R80">
        <f>VLOOKUP(B80,'Small Pricelist'!A:L,9,0)</f>
        <v>332.59920000000147</v>
      </c>
      <c r="S80" s="1" t="s">
        <v>14</v>
      </c>
      <c r="T80">
        <f>VLOOKUP(B80,'Small Pricelist'!A:L,10,0)</f>
        <v>16.629960000000096</v>
      </c>
      <c r="U80" s="1" t="s">
        <v>14</v>
      </c>
      <c r="V80">
        <f>VLOOKUP(B80,'Small Pricelist'!A:L,11,0)</f>
        <v>5.8873358746294224</v>
      </c>
      <c r="W80" s="1" t="s">
        <v>14</v>
      </c>
      <c r="X80">
        <f>VLOOKUP(B80,'Small Pricelist'!A:L,12,0)</f>
        <v>5649.4008000000022</v>
      </c>
      <c r="Y80" s="1" t="s">
        <v>12</v>
      </c>
      <c r="Z80" s="25" t="str">
        <f t="shared" si="1"/>
        <v>&lt;tr&gt; &lt;td&gt;3002265&lt;/td&gt;&lt;td&gt;SERVOSYSTEM 46 - 20L BUC&lt;/td&gt;&lt;td&gt;5982&lt;/td&gt;&lt;td&gt;5649.4008&lt;/td&gt;&lt;td&gt;0&lt;/td&gt;&lt;td&gt;0&lt;/td&gt;&lt;td&gt;0&lt;/td&gt;&lt;td&gt;5649.4008&lt;/td&gt;&lt;td&gt;332.599200000001&lt;/td&gt;&lt;td&gt;16.6299600000001&lt;/td&gt;&lt;td&gt;5.88733587462942&lt;/td&gt;&lt;td&gt;5649.4008&lt;/td&gt;&lt;/tr&gt;</v>
      </c>
    </row>
    <row r="81" spans="1:26" x14ac:dyDescent="0.3">
      <c r="A81" s="1" t="s">
        <v>13</v>
      </c>
      <c r="B81">
        <f>'Small Pricelist'!A80</f>
        <v>3006234</v>
      </c>
      <c r="C81" s="1" t="s">
        <v>14</v>
      </c>
      <c r="D81" t="str">
        <f>VLOOKUP(B81,'Small Pricelist'!A:L,2,0)</f>
        <v>SERVOSYSTEM 68-4x5L - HDPE</v>
      </c>
      <c r="E81" s="1" t="s">
        <v>14</v>
      </c>
      <c r="F81">
        <f>VLOOKUP(B81,'Small Pricelist'!A:L,3,0)</f>
        <v>1608</v>
      </c>
      <c r="G81" s="1" t="s">
        <v>14</v>
      </c>
      <c r="H81">
        <f>VLOOKUP(B81,'Small Pricelist'!A:L,4,0)</f>
        <v>1516.1832000000002</v>
      </c>
      <c r="I81" s="1" t="s">
        <v>14</v>
      </c>
      <c r="J81">
        <f>VLOOKUP(B81,'Small Pricelist'!A:L,5,0)</f>
        <v>72</v>
      </c>
      <c r="K81" s="1" t="s">
        <v>14</v>
      </c>
      <c r="L81">
        <f>VLOOKUP(B81,'Small Pricelist'!A:L,6,0)</f>
        <v>0</v>
      </c>
      <c r="M81" s="1" t="s">
        <v>14</v>
      </c>
      <c r="N81">
        <f>VLOOKUP(B81,'Small Pricelist'!A:L,7,0)</f>
        <v>0</v>
      </c>
      <c r="O81" s="1" t="s">
        <v>14</v>
      </c>
      <c r="P81">
        <f>VLOOKUP(B81,'Small Pricelist'!A:L,8,0)</f>
        <v>1091.3832000000002</v>
      </c>
      <c r="Q81" s="1" t="s">
        <v>14</v>
      </c>
      <c r="R81">
        <f>VLOOKUP(B81,'Small Pricelist'!A:L,9,0)</f>
        <v>516.61679999999978</v>
      </c>
      <c r="S81" s="1" t="s">
        <v>14</v>
      </c>
      <c r="T81">
        <f>VLOOKUP(B81,'Small Pricelist'!A:L,10,0)</f>
        <v>103.32335999999998</v>
      </c>
      <c r="U81" s="1" t="s">
        <v>14</v>
      </c>
      <c r="V81">
        <f>VLOOKUP(B81,'Small Pricelist'!A:L,11,0)</f>
        <v>47.335967788399131</v>
      </c>
      <c r="W81" s="1" t="s">
        <v>14</v>
      </c>
      <c r="X81">
        <f>VLOOKUP(B81,'Small Pricelist'!A:L,12,0)</f>
        <v>4365.5328000000036</v>
      </c>
      <c r="Y81" s="1" t="s">
        <v>12</v>
      </c>
      <c r="Z81" s="25" t="str">
        <f t="shared" si="1"/>
        <v>&lt;tr&gt; &lt;td&gt;3006234&lt;/td&gt;&lt;td&gt;SERVOSYSTEM 68-4x5L - HDPE&lt;/td&gt;&lt;td&gt;1608&lt;/td&gt;&lt;td&gt;1516.1832&lt;/td&gt;&lt;td&gt;72&lt;/td&gt;&lt;td&gt;0&lt;/td&gt;&lt;td&gt;0&lt;/td&gt;&lt;td&gt;1091.3832&lt;/td&gt;&lt;td&gt;516.6168&lt;/td&gt;&lt;td&gt;103.32336&lt;/td&gt;&lt;td&gt;47.3359677883991&lt;/td&gt;&lt;td&gt;4365.5328&lt;/td&gt;&lt;/tr&gt;</v>
      </c>
    </row>
    <row r="82" spans="1:26" x14ac:dyDescent="0.3">
      <c r="A82" s="1" t="s">
        <v>13</v>
      </c>
      <c r="B82">
        <f>'Small Pricelist'!A81</f>
        <v>3006265</v>
      </c>
      <c r="C82" s="1" t="s">
        <v>14</v>
      </c>
      <c r="D82" t="str">
        <f>VLOOKUP(B82,'Small Pricelist'!A:L,2,0)</f>
        <v>SERVOSYSTEM 68-20L BUC</v>
      </c>
      <c r="E82" s="1" t="s">
        <v>14</v>
      </c>
      <c r="F82">
        <f>VLOOKUP(B82,'Small Pricelist'!A:L,3,0)</f>
        <v>6236</v>
      </c>
      <c r="G82" s="1" t="s">
        <v>14</v>
      </c>
      <c r="H82">
        <f>VLOOKUP(B82,'Small Pricelist'!A:L,4,0)</f>
        <v>5884.9132000000009</v>
      </c>
      <c r="I82" s="1" t="s">
        <v>14</v>
      </c>
      <c r="J82">
        <f>VLOOKUP(B82,'Small Pricelist'!A:L,5,0)</f>
        <v>75</v>
      </c>
      <c r="K82" s="1" t="s">
        <v>14</v>
      </c>
      <c r="L82">
        <f>VLOOKUP(B82,'Small Pricelist'!A:L,6,0)</f>
        <v>0</v>
      </c>
      <c r="M82" s="1" t="s">
        <v>14</v>
      </c>
      <c r="N82">
        <f>VLOOKUP(B82,'Small Pricelist'!A:L,7,0)</f>
        <v>0</v>
      </c>
      <c r="O82" s="1" t="s">
        <v>14</v>
      </c>
      <c r="P82">
        <f>VLOOKUP(B82,'Small Pricelist'!A:L,8,0)</f>
        <v>4114.9132000000009</v>
      </c>
      <c r="Q82" s="1" t="s">
        <v>14</v>
      </c>
      <c r="R82">
        <f>VLOOKUP(B82,'Small Pricelist'!A:L,9,0)</f>
        <v>2121.0867999999991</v>
      </c>
      <c r="S82" s="1" t="s">
        <v>14</v>
      </c>
      <c r="T82">
        <f>VLOOKUP(B82,'Small Pricelist'!A:L,10,0)</f>
        <v>106.05433999999997</v>
      </c>
      <c r="U82" s="1" t="s">
        <v>14</v>
      </c>
      <c r="V82">
        <f>VLOOKUP(B82,'Small Pricelist'!A:L,11,0)</f>
        <v>51.546331524076827</v>
      </c>
      <c r="W82" s="1" t="s">
        <v>14</v>
      </c>
      <c r="X82">
        <f>VLOOKUP(B82,'Small Pricelist'!A:L,12,0)</f>
        <v>4114.9132000000036</v>
      </c>
      <c r="Y82" s="1" t="s">
        <v>12</v>
      </c>
      <c r="Z82" s="25" t="str">
        <f t="shared" si="1"/>
        <v>&lt;tr&gt; &lt;td&gt;3006265&lt;/td&gt;&lt;td&gt;SERVOSYSTEM 68-20L BUC&lt;/td&gt;&lt;td&gt;6236&lt;/td&gt;&lt;td&gt;5884.9132&lt;/td&gt;&lt;td&gt;75&lt;/td&gt;&lt;td&gt;0&lt;/td&gt;&lt;td&gt;0&lt;/td&gt;&lt;td&gt;4114.9132&lt;/td&gt;&lt;td&gt;2121.0868&lt;/td&gt;&lt;td&gt;106.05434&lt;/td&gt;&lt;td&gt;51.5463315240768&lt;/td&gt;&lt;td&gt;4114.9132&lt;/td&gt;&lt;/tr&gt;</v>
      </c>
    </row>
    <row r="83" spans="1:26" x14ac:dyDescent="0.3">
      <c r="A83" s="1" t="s">
        <v>13</v>
      </c>
      <c r="B83">
        <f>'Small Pricelist'!A82</f>
        <v>3020265</v>
      </c>
      <c r="C83" s="1" t="s">
        <v>14</v>
      </c>
      <c r="D83" t="str">
        <f>VLOOKUP(B83,'Small Pricelist'!A:L,2,0)</f>
        <v>SERVOSYSTEM 220-20 L</v>
      </c>
      <c r="E83" s="1" t="s">
        <v>14</v>
      </c>
      <c r="F83">
        <f>VLOOKUP(B83,'Small Pricelist'!A:L,3,0)</f>
        <v>6053</v>
      </c>
      <c r="G83" s="1" t="s">
        <v>14</v>
      </c>
      <c r="H83">
        <f>VLOOKUP(B83,'Small Pricelist'!A:L,4,0)</f>
        <v>5714.6372999999994</v>
      </c>
      <c r="I83" s="1" t="s">
        <v>14</v>
      </c>
      <c r="J83">
        <f>VLOOKUP(B83,'Small Pricelist'!A:L,5,0)</f>
        <v>0</v>
      </c>
      <c r="K83" s="1" t="s">
        <v>14</v>
      </c>
      <c r="L83">
        <f>VLOOKUP(B83,'Small Pricelist'!A:L,6,0)</f>
        <v>0</v>
      </c>
      <c r="M83" s="1" t="s">
        <v>14</v>
      </c>
      <c r="N83">
        <f>VLOOKUP(B83,'Small Pricelist'!A:L,7,0)</f>
        <v>0</v>
      </c>
      <c r="O83" s="1" t="s">
        <v>14</v>
      </c>
      <c r="P83">
        <f>VLOOKUP(B83,'Small Pricelist'!A:L,8,0)</f>
        <v>5714.6372999999994</v>
      </c>
      <c r="Q83" s="1" t="s">
        <v>14</v>
      </c>
      <c r="R83">
        <f>VLOOKUP(B83,'Small Pricelist'!A:L,9,0)</f>
        <v>338.36270000000059</v>
      </c>
      <c r="S83" s="1" t="s">
        <v>14</v>
      </c>
      <c r="T83">
        <f>VLOOKUP(B83,'Small Pricelist'!A:L,10,0)</f>
        <v>16.918135000000007</v>
      </c>
      <c r="U83" s="1" t="s">
        <v>14</v>
      </c>
      <c r="V83">
        <f>VLOOKUP(B83,'Small Pricelist'!A:L,11,0)</f>
        <v>5.9209829467217565</v>
      </c>
      <c r="W83" s="1" t="s">
        <v>14</v>
      </c>
      <c r="X83">
        <f>VLOOKUP(B83,'Small Pricelist'!A:L,12,0)</f>
        <v>5714.6373000000031</v>
      </c>
      <c r="Y83" s="1" t="s">
        <v>12</v>
      </c>
      <c r="Z83" s="25" t="str">
        <f t="shared" si="1"/>
        <v>&lt;tr&gt; &lt;td&gt;3020265&lt;/td&gt;&lt;td&gt;SERVOSYSTEM 220-20 L&lt;/td&gt;&lt;td&gt;6053&lt;/td&gt;&lt;td&gt;5714.6373&lt;/td&gt;&lt;td&gt;0&lt;/td&gt;&lt;td&gt;0&lt;/td&gt;&lt;td&gt;0&lt;/td&gt;&lt;td&gt;5714.6373&lt;/td&gt;&lt;td&gt;338.362700000001&lt;/td&gt;&lt;td&gt;16.918135&lt;/td&gt;&lt;td&gt;5.92098294672176&lt;/td&gt;&lt;td&gt;5714.6373&lt;/td&gt;&lt;/tr&gt;</v>
      </c>
    </row>
    <row r="84" spans="1:26" x14ac:dyDescent="0.3">
      <c r="A84" s="1" t="s">
        <v>13</v>
      </c>
      <c r="B84">
        <f>'Small Pricelist'!A83</f>
        <v>3040265</v>
      </c>
      <c r="C84" s="1" t="s">
        <v>14</v>
      </c>
      <c r="D84" t="str">
        <f>VLOOKUP(B84,'Small Pricelist'!A:L,2,0)</f>
        <v>SERVOHYDRASHAKTI 68-20 L</v>
      </c>
      <c r="E84" s="1" t="s">
        <v>14</v>
      </c>
      <c r="F84">
        <f>VLOOKUP(B84,'Small Pricelist'!A:L,3,0)</f>
        <v>5475</v>
      </c>
      <c r="G84" s="1" t="s">
        <v>14</v>
      </c>
      <c r="H84">
        <f>VLOOKUP(B84,'Small Pricelist'!A:L,4,0)</f>
        <v>4365.7650000000003</v>
      </c>
      <c r="I84" s="1" t="s">
        <v>14</v>
      </c>
      <c r="J84">
        <f>VLOOKUP(B84,'Small Pricelist'!A:L,5,0)</f>
        <v>34</v>
      </c>
      <c r="K84" s="1" t="s">
        <v>14</v>
      </c>
      <c r="L84">
        <f>VLOOKUP(B84,'Small Pricelist'!A:L,6,0)</f>
        <v>0</v>
      </c>
      <c r="M84" s="1" t="s">
        <v>14</v>
      </c>
      <c r="N84">
        <f>VLOOKUP(B84,'Small Pricelist'!A:L,7,0)</f>
        <v>0</v>
      </c>
      <c r="O84" s="1" t="s">
        <v>14</v>
      </c>
      <c r="P84">
        <f>VLOOKUP(B84,'Small Pricelist'!A:L,8,0)</f>
        <v>3563.3650000000007</v>
      </c>
      <c r="Q84" s="1" t="s">
        <v>14</v>
      </c>
      <c r="R84">
        <f>VLOOKUP(B84,'Small Pricelist'!A:L,9,0)</f>
        <v>1911.6349999999993</v>
      </c>
      <c r="S84" s="1" t="s">
        <v>14</v>
      </c>
      <c r="T84">
        <f>VLOOKUP(B84,'Small Pricelist'!A:L,10,0)</f>
        <v>95.581749999999971</v>
      </c>
      <c r="U84" s="1" t="s">
        <v>14</v>
      </c>
      <c r="V84">
        <f>VLOOKUP(B84,'Small Pricelist'!A:L,11,0)</f>
        <v>53.646903979805572</v>
      </c>
      <c r="W84" s="1" t="s">
        <v>14</v>
      </c>
      <c r="X84">
        <f>VLOOKUP(B84,'Small Pricelist'!A:L,12,0)</f>
        <v>3563.365000000003</v>
      </c>
      <c r="Y84" s="1" t="s">
        <v>12</v>
      </c>
      <c r="Z84" s="25" t="str">
        <f t="shared" si="1"/>
        <v>&lt;tr&gt; &lt;td&gt;3040265&lt;/td&gt;&lt;td&gt;SERVOHYDRASHAKTI 68-20 L&lt;/td&gt;&lt;td&gt;5475&lt;/td&gt;&lt;td&gt;4365.765&lt;/td&gt;&lt;td&gt;34&lt;/td&gt;&lt;td&gt;0&lt;/td&gt;&lt;td&gt;0&lt;/td&gt;&lt;td&gt;3563.365&lt;/td&gt;&lt;td&gt;1911.635&lt;/td&gt;&lt;td&gt;95.58175&lt;/td&gt;&lt;td&gt;53.6469039798056&lt;/td&gt;&lt;td&gt;3563.365&lt;/td&gt;&lt;/tr&gt;</v>
      </c>
    </row>
    <row r="85" spans="1:26" x14ac:dyDescent="0.3">
      <c r="A85" s="1" t="s">
        <v>13</v>
      </c>
      <c r="B85">
        <f>'Small Pricelist'!A84</f>
        <v>3057265</v>
      </c>
      <c r="C85" s="1" t="s">
        <v>14</v>
      </c>
      <c r="D85" t="str">
        <f>VLOOKUP(B85,'Small Pricelist'!A:L,2,0)</f>
        <v>SERVO EXCAVATOR TH 46 20 L</v>
      </c>
      <c r="E85" s="1" t="s">
        <v>14</v>
      </c>
      <c r="F85">
        <f>VLOOKUP(B85,'Small Pricelist'!A:L,3,0)</f>
        <v>6704</v>
      </c>
      <c r="G85" s="1" t="s">
        <v>14</v>
      </c>
      <c r="H85">
        <f>VLOOKUP(B85,'Small Pricelist'!A:L,4,0)</f>
        <v>5587.1135999999997</v>
      </c>
      <c r="I85" s="1" t="s">
        <v>14</v>
      </c>
      <c r="J85">
        <f>VLOOKUP(B85,'Small Pricelist'!A:L,5,0)</f>
        <v>0</v>
      </c>
      <c r="K85" s="1" t="s">
        <v>14</v>
      </c>
      <c r="L85">
        <f>VLOOKUP(B85,'Small Pricelist'!A:L,6,0)</f>
        <v>0</v>
      </c>
      <c r="M85" s="1" t="s">
        <v>14</v>
      </c>
      <c r="N85">
        <f>VLOOKUP(B85,'Small Pricelist'!A:L,7,0)</f>
        <v>0</v>
      </c>
      <c r="O85" s="1" t="s">
        <v>14</v>
      </c>
      <c r="P85">
        <f>VLOOKUP(B85,'Small Pricelist'!A:L,8,0)</f>
        <v>5587.1135999999997</v>
      </c>
      <c r="Q85" s="1" t="s">
        <v>14</v>
      </c>
      <c r="R85">
        <f>VLOOKUP(B85,'Small Pricelist'!A:L,9,0)</f>
        <v>1116.8864000000003</v>
      </c>
      <c r="S85" s="1" t="s">
        <v>14</v>
      </c>
      <c r="T85">
        <f>VLOOKUP(B85,'Small Pricelist'!A:L,10,0)</f>
        <v>55.844319999999982</v>
      </c>
      <c r="U85" s="1" t="s">
        <v>14</v>
      </c>
      <c r="V85">
        <f>VLOOKUP(B85,'Small Pricelist'!A:L,11,0)</f>
        <v>19.990400767938571</v>
      </c>
      <c r="W85" s="1" t="s">
        <v>14</v>
      </c>
      <c r="X85">
        <f>VLOOKUP(B85,'Small Pricelist'!A:L,12,0)</f>
        <v>5587.1136000000033</v>
      </c>
      <c r="Y85" s="1" t="s">
        <v>12</v>
      </c>
      <c r="Z85" s="25" t="str">
        <f t="shared" si="1"/>
        <v>&lt;tr&gt; &lt;td&gt;3057265&lt;/td&gt;&lt;td&gt;SERVO EXCAVATOR TH 46 20 L&lt;/td&gt;&lt;td&gt;6704&lt;/td&gt;&lt;td&gt;5587.1136&lt;/td&gt;&lt;td&gt;0&lt;/td&gt;&lt;td&gt;0&lt;/td&gt;&lt;td&gt;0&lt;/td&gt;&lt;td&gt;5587.1136&lt;/td&gt;&lt;td&gt;1116.8864&lt;/td&gt;&lt;td&gt;55.84432&lt;/td&gt;&lt;td&gt;19.9904007679386&lt;/td&gt;&lt;td&gt;5587.1136&lt;/td&gt;&lt;/tr&gt;</v>
      </c>
    </row>
    <row r="86" spans="1:26" x14ac:dyDescent="0.3">
      <c r="A86" s="1" t="s">
        <v>13</v>
      </c>
      <c r="B86">
        <f>'Small Pricelist'!A85</f>
        <v>3059265</v>
      </c>
      <c r="C86" s="1" t="s">
        <v>14</v>
      </c>
      <c r="D86" t="str">
        <f>VLOOKUP(B86,'Small Pricelist'!A:L,2,0)</f>
        <v>SERVOHYDREX TH 46 PLUS-20 L</v>
      </c>
      <c r="E86" s="1" t="s">
        <v>14</v>
      </c>
      <c r="F86">
        <f>VLOOKUP(B86,'Small Pricelist'!A:L,3,0)</f>
        <v>7303</v>
      </c>
      <c r="G86" s="1" t="s">
        <v>14</v>
      </c>
      <c r="H86">
        <f>VLOOKUP(B86,'Small Pricelist'!A:L,4,0)</f>
        <v>6085.5898999999999</v>
      </c>
      <c r="I86" s="1" t="s">
        <v>14</v>
      </c>
      <c r="J86">
        <f>VLOOKUP(B86,'Small Pricelist'!A:L,5,0)</f>
        <v>0</v>
      </c>
      <c r="K86" s="1" t="s">
        <v>14</v>
      </c>
      <c r="L86">
        <f>VLOOKUP(B86,'Small Pricelist'!A:L,6,0)</f>
        <v>0</v>
      </c>
      <c r="M86" s="1" t="s">
        <v>14</v>
      </c>
      <c r="N86">
        <f>VLOOKUP(B86,'Small Pricelist'!A:L,7,0)</f>
        <v>0</v>
      </c>
      <c r="O86" s="1" t="s">
        <v>14</v>
      </c>
      <c r="P86">
        <f>VLOOKUP(B86,'Small Pricelist'!A:L,8,0)</f>
        <v>6085.5898999999999</v>
      </c>
      <c r="Q86" s="1" t="s">
        <v>14</v>
      </c>
      <c r="R86">
        <f>VLOOKUP(B86,'Small Pricelist'!A:L,9,0)</f>
        <v>1217.4101000000001</v>
      </c>
      <c r="S86" s="1" t="s">
        <v>14</v>
      </c>
      <c r="T86">
        <f>VLOOKUP(B86,'Small Pricelist'!A:L,10,0)</f>
        <v>60.87050499999998</v>
      </c>
      <c r="U86" s="1" t="s">
        <v>14</v>
      </c>
      <c r="V86">
        <f>VLOOKUP(B86,'Small Pricelist'!A:L,11,0)</f>
        <v>20.004800192007682</v>
      </c>
      <c r="W86" s="1" t="s">
        <v>14</v>
      </c>
      <c r="X86">
        <f>VLOOKUP(B86,'Small Pricelist'!A:L,12,0)</f>
        <v>6085.5899000000036</v>
      </c>
      <c r="Y86" s="1" t="s">
        <v>12</v>
      </c>
      <c r="Z86" s="25" t="str">
        <f t="shared" si="1"/>
        <v>&lt;tr&gt; &lt;td&gt;3059265&lt;/td&gt;&lt;td&gt;SERVOHYDREX TH 46 PLUS-20 L&lt;/td&gt;&lt;td&gt;7303&lt;/td&gt;&lt;td&gt;6085.5899&lt;/td&gt;&lt;td&gt;0&lt;/td&gt;&lt;td&gt;0&lt;/td&gt;&lt;td&gt;0&lt;/td&gt;&lt;td&gt;6085.5899&lt;/td&gt;&lt;td&gt;1217.4101&lt;/td&gt;&lt;td&gt;60.870505&lt;/td&gt;&lt;td&gt;20.0048001920077&lt;/td&gt;&lt;td&gt;6085.5899&lt;/td&gt;&lt;/tr&gt;</v>
      </c>
    </row>
    <row r="87" spans="1:26" x14ac:dyDescent="0.3">
      <c r="A87" s="1" t="s">
        <v>13</v>
      </c>
      <c r="B87">
        <f>'Small Pricelist'!A86</f>
        <v>3060265</v>
      </c>
      <c r="C87" s="1" t="s">
        <v>14</v>
      </c>
      <c r="D87" t="str">
        <f>VLOOKUP(B87,'Small Pricelist'!A:L,2,0)</f>
        <v>MAHINDRA EM HYDRAULIC OIL-20 L</v>
      </c>
      <c r="E87" s="1" t="s">
        <v>14</v>
      </c>
      <c r="F87">
        <f>VLOOKUP(B87,'Small Pricelist'!A:L,3,0)</f>
        <v>7300</v>
      </c>
      <c r="G87" s="1" t="s">
        <v>14</v>
      </c>
      <c r="H87">
        <f>VLOOKUP(B87,'Small Pricelist'!A:L,4,0)</f>
        <v>6515.98</v>
      </c>
      <c r="I87" s="1" t="s">
        <v>14</v>
      </c>
      <c r="J87">
        <f>VLOOKUP(B87,'Small Pricelist'!A:L,5,0)</f>
        <v>0</v>
      </c>
      <c r="K87" s="1" t="s">
        <v>14</v>
      </c>
      <c r="L87">
        <f>VLOOKUP(B87,'Small Pricelist'!A:L,6,0)</f>
        <v>0</v>
      </c>
      <c r="M87" s="1" t="s">
        <v>14</v>
      </c>
      <c r="N87">
        <f>VLOOKUP(B87,'Small Pricelist'!A:L,7,0)</f>
        <v>0</v>
      </c>
      <c r="O87" s="1" t="s">
        <v>14</v>
      </c>
      <c r="P87">
        <f>VLOOKUP(B87,'Small Pricelist'!A:L,8,0)</f>
        <v>6515.98</v>
      </c>
      <c r="Q87" s="1" t="s">
        <v>14</v>
      </c>
      <c r="R87">
        <f>VLOOKUP(B87,'Small Pricelist'!A:L,9,0)</f>
        <v>784.02000000000044</v>
      </c>
      <c r="S87" s="1" t="s">
        <v>14</v>
      </c>
      <c r="T87">
        <f>VLOOKUP(B87,'Small Pricelist'!A:L,10,0)</f>
        <v>39.201000000000022</v>
      </c>
      <c r="U87" s="1" t="s">
        <v>14</v>
      </c>
      <c r="V87">
        <f>VLOOKUP(B87,'Small Pricelist'!A:L,11,0)</f>
        <v>12.032265292404221</v>
      </c>
      <c r="W87" s="1" t="s">
        <v>14</v>
      </c>
      <c r="X87">
        <f>VLOOKUP(B87,'Small Pricelist'!A:L,12,0)</f>
        <v>6515.9800000000041</v>
      </c>
      <c r="Y87" s="1" t="s">
        <v>12</v>
      </c>
      <c r="Z87" s="25" t="str">
        <f t="shared" si="1"/>
        <v>&lt;tr&gt; &lt;td&gt;3060265&lt;/td&gt;&lt;td&gt;MAHINDRA EM HYDRAULIC OIL-20 L&lt;/td&gt;&lt;td&gt;7300&lt;/td&gt;&lt;td&gt;6515.98&lt;/td&gt;&lt;td&gt;0&lt;/td&gt;&lt;td&gt;0&lt;/td&gt;&lt;td&gt;0&lt;/td&gt;&lt;td&gt;6515.98&lt;/td&gt;&lt;td&gt;784.02&lt;/td&gt;&lt;td&gt;39.201&lt;/td&gt;&lt;td&gt;12.0322652924042&lt;/td&gt;&lt;td&gt;6515.98&lt;/td&gt;&lt;/tr&gt;</v>
      </c>
    </row>
    <row r="88" spans="1:26" x14ac:dyDescent="0.3">
      <c r="A88" s="1" t="s">
        <v>13</v>
      </c>
      <c r="B88">
        <f>'Small Pricelist'!A87</f>
        <v>3064265</v>
      </c>
      <c r="C88" s="1" t="s">
        <v>14</v>
      </c>
      <c r="D88" t="str">
        <f>VLOOKUP(B88,'Small Pricelist'!A:L,2,0)</f>
        <v>SERVOHYDREX TH 46-20L BUC</v>
      </c>
      <c r="E88" s="1" t="s">
        <v>14</v>
      </c>
      <c r="F88">
        <f>VLOOKUP(B88,'Small Pricelist'!A:L,3,0)</f>
        <v>6792</v>
      </c>
      <c r="G88" s="1" t="s">
        <v>14</v>
      </c>
      <c r="H88">
        <f>VLOOKUP(B88,'Small Pricelist'!A:L,4,0)</f>
        <v>6399.4223999999995</v>
      </c>
      <c r="I88" s="1" t="s">
        <v>14</v>
      </c>
      <c r="J88">
        <f>VLOOKUP(B88,'Small Pricelist'!A:L,5,0)</f>
        <v>0</v>
      </c>
      <c r="K88" s="1" t="s">
        <v>14</v>
      </c>
      <c r="L88">
        <f>VLOOKUP(B88,'Small Pricelist'!A:L,6,0)</f>
        <v>0</v>
      </c>
      <c r="M88" s="1" t="s">
        <v>14</v>
      </c>
      <c r="N88">
        <f>VLOOKUP(B88,'Small Pricelist'!A:L,7,0)</f>
        <v>0</v>
      </c>
      <c r="O88" s="1" t="s">
        <v>14</v>
      </c>
      <c r="P88">
        <f>VLOOKUP(B88,'Small Pricelist'!A:L,8,0)</f>
        <v>6399.4223999999995</v>
      </c>
      <c r="Q88" s="1" t="s">
        <v>14</v>
      </c>
      <c r="R88">
        <f>VLOOKUP(B88,'Small Pricelist'!A:L,9,0)</f>
        <v>392.57760000000053</v>
      </c>
      <c r="S88" s="1" t="s">
        <v>14</v>
      </c>
      <c r="T88">
        <f>VLOOKUP(B88,'Small Pricelist'!A:L,10,0)</f>
        <v>19.628880000000038</v>
      </c>
      <c r="U88" s="1" t="s">
        <v>14</v>
      </c>
      <c r="V88">
        <f>VLOOKUP(B88,'Small Pricelist'!A:L,11,0)</f>
        <v>6.1345786457227849</v>
      </c>
      <c r="W88" s="1" t="s">
        <v>14</v>
      </c>
      <c r="X88">
        <f>VLOOKUP(B88,'Small Pricelist'!A:L,12,0)</f>
        <v>6399.422400000004</v>
      </c>
      <c r="Y88" s="1" t="s">
        <v>12</v>
      </c>
      <c r="Z88" s="25" t="str">
        <f t="shared" si="1"/>
        <v>&lt;tr&gt; &lt;td&gt;3064265&lt;/td&gt;&lt;td&gt;SERVOHYDREX TH 46-20L BUC&lt;/td&gt;&lt;td&gt;6792&lt;/td&gt;&lt;td&gt;6399.4224&lt;/td&gt;&lt;td&gt;0&lt;/td&gt;&lt;td&gt;0&lt;/td&gt;&lt;td&gt;0&lt;/td&gt;&lt;td&gt;6399.4224&lt;/td&gt;&lt;td&gt;392.577600000001&lt;/td&gt;&lt;td&gt;19.62888&lt;/td&gt;&lt;td&gt;6.13457864572278&lt;/td&gt;&lt;td&gt;6399.4224&lt;/td&gt;&lt;/tr&gt;</v>
      </c>
    </row>
    <row r="89" spans="1:26" x14ac:dyDescent="0.3">
      <c r="A89" s="1" t="s">
        <v>13</v>
      </c>
      <c r="B89">
        <f>'Small Pricelist'!A88</f>
        <v>3077184</v>
      </c>
      <c r="C89" s="1" t="s">
        <v>14</v>
      </c>
      <c r="D89" t="str">
        <f>VLOOKUP(B89,'Small Pricelist'!A:L,2,0)</f>
        <v>MAHINDRA EM BRAKEFLUID-20 X 1 L</v>
      </c>
      <c r="E89" s="1" t="s">
        <v>14</v>
      </c>
      <c r="F89">
        <f>VLOOKUP(B89,'Small Pricelist'!A:L,3,0)</f>
        <v>375</v>
      </c>
      <c r="G89" s="1" t="s">
        <v>14</v>
      </c>
      <c r="H89">
        <f>VLOOKUP(B89,'Small Pricelist'!A:L,4,0)</f>
        <v>334.72500000000002</v>
      </c>
      <c r="I89" s="1" t="s">
        <v>14</v>
      </c>
      <c r="J89">
        <f>VLOOKUP(B89,'Small Pricelist'!A:L,5,0)</f>
        <v>0</v>
      </c>
      <c r="K89" s="1" t="s">
        <v>14</v>
      </c>
      <c r="L89">
        <f>VLOOKUP(B89,'Small Pricelist'!A:L,6,0)</f>
        <v>0</v>
      </c>
      <c r="M89" s="1" t="s">
        <v>14</v>
      </c>
      <c r="N89">
        <f>VLOOKUP(B89,'Small Pricelist'!A:L,7,0)</f>
        <v>0</v>
      </c>
      <c r="O89" s="1" t="s">
        <v>14</v>
      </c>
      <c r="P89">
        <f>VLOOKUP(B89,'Small Pricelist'!A:L,8,0)</f>
        <v>334.72500000000008</v>
      </c>
      <c r="Q89" s="1" t="s">
        <v>14</v>
      </c>
      <c r="R89">
        <f>VLOOKUP(B89,'Small Pricelist'!A:L,9,0)</f>
        <v>40.27499999999992</v>
      </c>
      <c r="S89" s="1" t="s">
        <v>14</v>
      </c>
      <c r="T89">
        <f>VLOOKUP(B89,'Small Pricelist'!A:L,10,0)</f>
        <v>40.27499999999992</v>
      </c>
      <c r="U89" s="1" t="s">
        <v>14</v>
      </c>
      <c r="V89">
        <f>VLOOKUP(B89,'Small Pricelist'!A:L,11,0)</f>
        <v>12.032265292404185</v>
      </c>
      <c r="W89" s="1" t="s">
        <v>14</v>
      </c>
      <c r="X89">
        <f>VLOOKUP(B89,'Small Pricelist'!A:L,12,0)</f>
        <v>6694.5000000000064</v>
      </c>
      <c r="Y89" s="1" t="s">
        <v>12</v>
      </c>
      <c r="Z89" s="25" t="str">
        <f t="shared" si="1"/>
        <v>&lt;tr&gt; &lt;td&gt;3077184&lt;/td&gt;&lt;td&gt;MAHINDRA EM BRAKEFLUID-20 X 1 L&lt;/td&gt;&lt;td&gt;375&lt;/td&gt;&lt;td&gt;334.725&lt;/td&gt;&lt;td&gt;0&lt;/td&gt;&lt;td&gt;0&lt;/td&gt;&lt;td&gt;0&lt;/td&gt;&lt;td&gt;334.725&lt;/td&gt;&lt;td&gt;40.2749999999999&lt;/td&gt;&lt;td&gt;40.2749999999999&lt;/td&gt;&lt;td&gt;12.0322652924042&lt;/td&gt;&lt;td&gt;6694.50000000001&lt;/td&gt;&lt;/tr&gt;</v>
      </c>
    </row>
    <row r="90" spans="1:26" x14ac:dyDescent="0.3">
      <c r="A90" s="1" t="s">
        <v>13</v>
      </c>
      <c r="B90">
        <f>'Small Pricelist'!A89</f>
        <v>3084265</v>
      </c>
      <c r="C90" s="1" t="s">
        <v>14</v>
      </c>
      <c r="D90" t="str">
        <f>VLOOKUP(B90,'Small Pricelist'!A:L,2,0)</f>
        <v>SERVOSYSTEM HLP 68-20L BUC</v>
      </c>
      <c r="E90" s="1" t="s">
        <v>14</v>
      </c>
      <c r="F90">
        <f>VLOOKUP(B90,'Small Pricelist'!A:L,3,0)</f>
        <v>6378</v>
      </c>
      <c r="G90" s="1" t="s">
        <v>14</v>
      </c>
      <c r="H90">
        <f>VLOOKUP(B90,'Small Pricelist'!A:L,4,0)</f>
        <v>6016.3674000000001</v>
      </c>
      <c r="I90" s="1" t="s">
        <v>14</v>
      </c>
      <c r="J90">
        <f>VLOOKUP(B90,'Small Pricelist'!A:L,5,0)</f>
        <v>0</v>
      </c>
      <c r="K90" s="1" t="s">
        <v>14</v>
      </c>
      <c r="L90">
        <f>VLOOKUP(B90,'Small Pricelist'!A:L,6,0)</f>
        <v>0</v>
      </c>
      <c r="M90" s="1" t="s">
        <v>14</v>
      </c>
      <c r="N90">
        <f>VLOOKUP(B90,'Small Pricelist'!A:L,7,0)</f>
        <v>0</v>
      </c>
      <c r="O90" s="1" t="s">
        <v>14</v>
      </c>
      <c r="P90">
        <f>VLOOKUP(B90,'Small Pricelist'!A:L,8,0)</f>
        <v>6016.3674000000001</v>
      </c>
      <c r="Q90" s="1" t="s">
        <v>14</v>
      </c>
      <c r="R90">
        <f>VLOOKUP(B90,'Small Pricelist'!A:L,9,0)</f>
        <v>361.63259999999991</v>
      </c>
      <c r="S90" s="1" t="s">
        <v>14</v>
      </c>
      <c r="T90">
        <f>VLOOKUP(B90,'Small Pricelist'!A:L,10,0)</f>
        <v>18.081629999999961</v>
      </c>
      <c r="U90" s="1" t="s">
        <v>14</v>
      </c>
      <c r="V90">
        <f>VLOOKUP(B90,'Small Pricelist'!A:L,11,0)</f>
        <v>6.0108131029364982</v>
      </c>
      <c r="W90" s="1" t="s">
        <v>14</v>
      </c>
      <c r="X90">
        <f>VLOOKUP(B90,'Small Pricelist'!A:L,12,0)</f>
        <v>6016.3674000000037</v>
      </c>
      <c r="Y90" s="1" t="s">
        <v>12</v>
      </c>
      <c r="Z90" s="25" t="str">
        <f t="shared" si="1"/>
        <v>&lt;tr&gt; &lt;td&gt;3084265&lt;/td&gt;&lt;td&gt;SERVOSYSTEM HLP 68-20L BUC&lt;/td&gt;&lt;td&gt;6378&lt;/td&gt;&lt;td&gt;6016.3674&lt;/td&gt;&lt;td&gt;0&lt;/td&gt;&lt;td&gt;0&lt;/td&gt;&lt;td&gt;0&lt;/td&gt;&lt;td&gt;6016.3674&lt;/td&gt;&lt;td&gt;361.6326&lt;/td&gt;&lt;td&gt;18.08163&lt;/td&gt;&lt;td&gt;6.0108131029365&lt;/td&gt;&lt;td&gt;6016.3674&lt;/td&gt;&lt;/tr&gt;</v>
      </c>
    </row>
    <row r="91" spans="1:26" x14ac:dyDescent="0.3">
      <c r="A91" s="1" t="s">
        <v>13</v>
      </c>
      <c r="B91">
        <f>'Small Pricelist'!A90</f>
        <v>3614265</v>
      </c>
      <c r="C91" s="1" t="s">
        <v>14</v>
      </c>
      <c r="D91" t="str">
        <f>VLOOKUP(B91,'Small Pricelist'!A:L,2,0)</f>
        <v>SERVOMESH SP 320-20 L</v>
      </c>
      <c r="E91" s="1" t="s">
        <v>14</v>
      </c>
      <c r="F91">
        <f>VLOOKUP(B91,'Small Pricelist'!A:L,3,0)</f>
        <v>6585</v>
      </c>
      <c r="G91" s="1" t="s">
        <v>14</v>
      </c>
      <c r="H91">
        <f>VLOOKUP(B91,'Small Pricelist'!A:L,4,0)</f>
        <v>6208.3380000000006</v>
      </c>
      <c r="I91" s="1" t="s">
        <v>14</v>
      </c>
      <c r="J91">
        <f>VLOOKUP(B91,'Small Pricelist'!A:L,5,0)</f>
        <v>0</v>
      </c>
      <c r="K91" s="1" t="s">
        <v>14</v>
      </c>
      <c r="L91">
        <f>VLOOKUP(B91,'Small Pricelist'!A:L,6,0)</f>
        <v>0</v>
      </c>
      <c r="M91" s="1" t="s">
        <v>14</v>
      </c>
      <c r="N91">
        <f>VLOOKUP(B91,'Small Pricelist'!A:L,7,0)</f>
        <v>0</v>
      </c>
      <c r="O91" s="1" t="s">
        <v>14</v>
      </c>
      <c r="P91">
        <f>VLOOKUP(B91,'Small Pricelist'!A:L,8,0)</f>
        <v>6208.3380000000006</v>
      </c>
      <c r="Q91" s="1" t="s">
        <v>14</v>
      </c>
      <c r="R91">
        <f>VLOOKUP(B91,'Small Pricelist'!A:L,9,0)</f>
        <v>376.66199999999935</v>
      </c>
      <c r="S91" s="1" t="s">
        <v>14</v>
      </c>
      <c r="T91">
        <f>VLOOKUP(B91,'Small Pricelist'!A:L,10,0)</f>
        <v>18.833099999999945</v>
      </c>
      <c r="U91" s="1" t="s">
        <v>14</v>
      </c>
      <c r="V91">
        <f>VLOOKUP(B91,'Small Pricelist'!A:L,11,0)</f>
        <v>6.067034365719123</v>
      </c>
      <c r="W91" s="1" t="s">
        <v>14</v>
      </c>
      <c r="X91">
        <f>VLOOKUP(B91,'Small Pricelist'!A:L,12,0)</f>
        <v>6208.3380000000052</v>
      </c>
      <c r="Y91" s="1" t="s">
        <v>12</v>
      </c>
      <c r="Z91" s="25" t="str">
        <f t="shared" si="1"/>
        <v>&lt;tr&gt; &lt;td&gt;3614265&lt;/td&gt;&lt;td&gt;SERVOMESH SP 320-20 L&lt;/td&gt;&lt;td&gt;6585&lt;/td&gt;&lt;td&gt;6208.338&lt;/td&gt;&lt;td&gt;0&lt;/td&gt;&lt;td&gt;0&lt;/td&gt;&lt;td&gt;0&lt;/td&gt;&lt;td&gt;6208.338&lt;/td&gt;&lt;td&gt;376.661999999999&lt;/td&gt;&lt;td&gt;18.8330999999999&lt;/td&gt;&lt;td&gt;6.06703436571912&lt;/td&gt;&lt;td&gt;6208.33800000001&lt;/td&gt;&lt;/tr&gt;</v>
      </c>
    </row>
    <row r="92" spans="1:26" x14ac:dyDescent="0.3">
      <c r="A92" s="1" t="s">
        <v>13</v>
      </c>
      <c r="B92">
        <f>'Small Pricelist'!A91</f>
        <v>3617265</v>
      </c>
      <c r="C92" s="1" t="s">
        <v>14</v>
      </c>
      <c r="D92" t="str">
        <f>VLOOKUP(B92,'Small Pricelist'!A:L,2,0)</f>
        <v>SERVOMESH SP 220-20 L</v>
      </c>
      <c r="E92" s="1" t="s">
        <v>14</v>
      </c>
      <c r="F92">
        <f>VLOOKUP(B92,'Small Pricelist'!A:L,3,0)</f>
        <v>6383</v>
      </c>
      <c r="G92" s="1" t="s">
        <v>14</v>
      </c>
      <c r="H92">
        <f>VLOOKUP(B92,'Small Pricelist'!A:L,4,0)</f>
        <v>6021.0839000000005</v>
      </c>
      <c r="I92" s="1" t="s">
        <v>14</v>
      </c>
      <c r="J92">
        <f>VLOOKUP(B92,'Small Pricelist'!A:L,5,0)</f>
        <v>0</v>
      </c>
      <c r="K92" s="1" t="s">
        <v>14</v>
      </c>
      <c r="L92">
        <f>VLOOKUP(B92,'Small Pricelist'!A:L,6,0)</f>
        <v>0</v>
      </c>
      <c r="M92" s="1" t="s">
        <v>14</v>
      </c>
      <c r="N92">
        <f>VLOOKUP(B92,'Small Pricelist'!A:L,7,0)</f>
        <v>0</v>
      </c>
      <c r="O92" s="1" t="s">
        <v>14</v>
      </c>
      <c r="P92">
        <f>VLOOKUP(B92,'Small Pricelist'!A:L,8,0)</f>
        <v>6021.0839000000005</v>
      </c>
      <c r="Q92" s="1" t="s">
        <v>14</v>
      </c>
      <c r="R92">
        <f>VLOOKUP(B92,'Small Pricelist'!A:L,9,0)</f>
        <v>361.91609999999946</v>
      </c>
      <c r="S92" s="1" t="s">
        <v>14</v>
      </c>
      <c r="T92">
        <f>VLOOKUP(B92,'Small Pricelist'!A:L,10,0)</f>
        <v>18.095804999999928</v>
      </c>
      <c r="U92" s="1" t="s">
        <v>14</v>
      </c>
      <c r="V92">
        <f>VLOOKUP(B92,'Small Pricelist'!A:L,11,0)</f>
        <v>6.0108131029364902</v>
      </c>
      <c r="W92" s="1" t="s">
        <v>14</v>
      </c>
      <c r="X92">
        <f>VLOOKUP(B92,'Small Pricelist'!A:L,12,0)</f>
        <v>6021.0839000000042</v>
      </c>
      <c r="Y92" s="1" t="s">
        <v>12</v>
      </c>
      <c r="Z92" s="25" t="str">
        <f t="shared" si="1"/>
        <v>&lt;tr&gt; &lt;td&gt;3617265&lt;/td&gt;&lt;td&gt;SERVOMESH SP 220-20 L&lt;/td&gt;&lt;td&gt;6383&lt;/td&gt;&lt;td&gt;6021.0839&lt;/td&gt;&lt;td&gt;0&lt;/td&gt;&lt;td&gt;0&lt;/td&gt;&lt;td&gt;0&lt;/td&gt;&lt;td&gt;6021.0839&lt;/td&gt;&lt;td&gt;361.916099999999&lt;/td&gt;&lt;td&gt;18.0958049999999&lt;/td&gt;&lt;td&gt;6.01081310293649&lt;/td&gt;&lt;td&gt;6021.0839&lt;/td&gt;&lt;/tr&gt;</v>
      </c>
    </row>
    <row r="93" spans="1:26" x14ac:dyDescent="0.3">
      <c r="A93" s="1" t="s">
        <v>13</v>
      </c>
      <c r="B93">
        <f>'Small Pricelist'!A92</f>
        <v>3723213</v>
      </c>
      <c r="C93" s="1" t="s">
        <v>14</v>
      </c>
      <c r="D93" t="str">
        <f>VLOOKUP(B93,'Small Pricelist'!A:L,2,0)</f>
        <v>SERVO PUMP SET OIL 20W-40 - 4x3.5L</v>
      </c>
      <c r="E93" s="1" t="s">
        <v>14</v>
      </c>
      <c r="F93">
        <f>VLOOKUP(B93,'Small Pricelist'!A:L,3,0)</f>
        <v>1176</v>
      </c>
      <c r="G93" s="1" t="s">
        <v>14</v>
      </c>
      <c r="H93">
        <f>VLOOKUP(B93,'Small Pricelist'!A:L,4,0)</f>
        <v>947.38559999999995</v>
      </c>
      <c r="I93" s="1" t="s">
        <v>14</v>
      </c>
      <c r="J93">
        <f>VLOOKUP(B93,'Small Pricelist'!A:L,5,0)</f>
        <v>15</v>
      </c>
      <c r="K93" s="1" t="s">
        <v>14</v>
      </c>
      <c r="L93">
        <f>VLOOKUP(B93,'Small Pricelist'!A:L,6,0)</f>
        <v>0</v>
      </c>
      <c r="M93" s="1" t="s">
        <v>14</v>
      </c>
      <c r="N93">
        <f>VLOOKUP(B93,'Small Pricelist'!A:L,7,0)</f>
        <v>0</v>
      </c>
      <c r="O93" s="1" t="s">
        <v>14</v>
      </c>
      <c r="P93">
        <f>VLOOKUP(B93,'Small Pricelist'!A:L,8,0)</f>
        <v>885.43559999999991</v>
      </c>
      <c r="Q93" s="1" t="s">
        <v>14</v>
      </c>
      <c r="R93">
        <f>VLOOKUP(B93,'Small Pricelist'!A:L,9,0)</f>
        <v>290.56440000000009</v>
      </c>
      <c r="S93" s="1" t="s">
        <v>14</v>
      </c>
      <c r="T93">
        <f>VLOOKUP(B93,'Small Pricelist'!A:L,10,0)</f>
        <v>83.018400000000014</v>
      </c>
      <c r="U93" s="1" t="s">
        <v>14</v>
      </c>
      <c r="V93">
        <f>VLOOKUP(B93,'Small Pricelist'!A:L,11,0)</f>
        <v>32.81598345492322</v>
      </c>
      <c r="W93" s="1" t="s">
        <v>14</v>
      </c>
      <c r="X93">
        <f>VLOOKUP(B93,'Small Pricelist'!A:L,12,0)</f>
        <v>3541.7424000000005</v>
      </c>
      <c r="Y93" s="1" t="s">
        <v>12</v>
      </c>
      <c r="Z93" s="25" t="str">
        <f t="shared" si="1"/>
        <v>&lt;tr&gt; &lt;td&gt;3723213&lt;/td&gt;&lt;td&gt;SERVO PUMP SET OIL 20W-40 - 4x3.5L&lt;/td&gt;&lt;td&gt;1176&lt;/td&gt;&lt;td&gt;947.3856&lt;/td&gt;&lt;td&gt;15&lt;/td&gt;&lt;td&gt;0&lt;/td&gt;&lt;td&gt;0&lt;/td&gt;&lt;td&gt;885.4356&lt;/td&gt;&lt;td&gt;290.5644&lt;/td&gt;&lt;td&gt;83.0184&lt;/td&gt;&lt;td&gt;32.8159834549232&lt;/td&gt;&lt;td&gt;3541.7424&lt;/td&gt;&lt;/tr&gt;</v>
      </c>
    </row>
    <row r="94" spans="1:26" x14ac:dyDescent="0.3">
      <c r="A94" s="1" t="s">
        <v>13</v>
      </c>
      <c r="B94">
        <f>'Small Pricelist'!A93</f>
        <v>3725213</v>
      </c>
      <c r="C94" s="1" t="s">
        <v>14</v>
      </c>
      <c r="D94" t="str">
        <f>VLOOKUP(B94,'Small Pricelist'!A:L,2,0)</f>
        <v>SERVO SUPER PUMP SO 40-4x3.5L HDPE</v>
      </c>
      <c r="E94" s="1" t="s">
        <v>14</v>
      </c>
      <c r="F94">
        <f>VLOOKUP(B94,'Small Pricelist'!A:L,3,0)</f>
        <v>1121</v>
      </c>
      <c r="G94" s="1" t="s">
        <v>14</v>
      </c>
      <c r="H94">
        <f>VLOOKUP(B94,'Small Pricelist'!A:L,4,0)</f>
        <v>828.75530000000015</v>
      </c>
      <c r="I94" s="1" t="s">
        <v>14</v>
      </c>
      <c r="J94">
        <f>VLOOKUP(B94,'Small Pricelist'!A:L,5,0)</f>
        <v>0</v>
      </c>
      <c r="K94" s="1" t="s">
        <v>14</v>
      </c>
      <c r="L94">
        <f>VLOOKUP(B94,'Small Pricelist'!A:L,6,0)</f>
        <v>0</v>
      </c>
      <c r="M94" s="1" t="s">
        <v>14</v>
      </c>
      <c r="N94">
        <f>VLOOKUP(B94,'Small Pricelist'!A:L,7,0)</f>
        <v>0</v>
      </c>
      <c r="O94" s="1" t="s">
        <v>14</v>
      </c>
      <c r="P94">
        <f>VLOOKUP(B94,'Small Pricelist'!A:L,8,0)</f>
        <v>828.75530000000015</v>
      </c>
      <c r="Q94" s="1" t="s">
        <v>14</v>
      </c>
      <c r="R94">
        <f>VLOOKUP(B94,'Small Pricelist'!A:L,9,0)</f>
        <v>292.24469999999985</v>
      </c>
      <c r="S94" s="1" t="s">
        <v>14</v>
      </c>
      <c r="T94">
        <f>VLOOKUP(B94,'Small Pricelist'!A:L,10,0)</f>
        <v>83.498485714285664</v>
      </c>
      <c r="U94" s="1" t="s">
        <v>14</v>
      </c>
      <c r="V94">
        <f>VLOOKUP(B94,'Small Pricelist'!A:L,11,0)</f>
        <v>35.26308670363855</v>
      </c>
      <c r="W94" s="1" t="s">
        <v>14</v>
      </c>
      <c r="X94">
        <f>VLOOKUP(B94,'Small Pricelist'!A:L,12,0)</f>
        <v>3315.0212000000015</v>
      </c>
      <c r="Y94" s="1" t="s">
        <v>12</v>
      </c>
      <c r="Z94" s="25" t="str">
        <f t="shared" si="1"/>
        <v>&lt;tr&gt; &lt;td&gt;3725213&lt;/td&gt;&lt;td&gt;SERVO SUPER PUMP SO 40-4x3.5L HDPE&lt;/td&gt;&lt;td&gt;1121&lt;/td&gt;&lt;td&gt;828.7553&lt;/td&gt;&lt;td&gt;0&lt;/td&gt;&lt;td&gt;0&lt;/td&gt;&lt;td&gt;0&lt;/td&gt;&lt;td&gt;828.7553&lt;/td&gt;&lt;td&gt;292.2447&lt;/td&gt;&lt;td&gt;83.4984857142857&lt;/td&gt;&lt;td&gt;35.2630867036385&lt;/td&gt;&lt;td&gt;3315.0212&lt;/td&gt;&lt;/tr&gt;</v>
      </c>
    </row>
    <row r="95" spans="1:26" x14ac:dyDescent="0.3">
      <c r="A95" s="1" t="s">
        <v>13</v>
      </c>
      <c r="B95">
        <f>'Small Pricelist'!A94</f>
        <v>4501265</v>
      </c>
      <c r="C95" s="1" t="s">
        <v>14</v>
      </c>
      <c r="D95" t="str">
        <f>VLOOKUP(B95,'Small Pricelist'!A:L,2,0)</f>
        <v>SERVOCUT S - 20L BUC</v>
      </c>
      <c r="E95" s="1" t="s">
        <v>14</v>
      </c>
      <c r="F95">
        <f>VLOOKUP(B95,'Small Pricelist'!A:L,3,0)</f>
        <v>6098</v>
      </c>
      <c r="G95" s="1" t="s">
        <v>14</v>
      </c>
      <c r="H95">
        <f>VLOOKUP(B95,'Small Pricelist'!A:L,4,0)</f>
        <v>5669.3105999999998</v>
      </c>
      <c r="I95" s="1" t="s">
        <v>14</v>
      </c>
      <c r="J95">
        <f>VLOOKUP(B95,'Small Pricelist'!A:L,5,0)</f>
        <v>0</v>
      </c>
      <c r="K95" s="1" t="s">
        <v>14</v>
      </c>
      <c r="L95">
        <f>VLOOKUP(B95,'Small Pricelist'!A:L,6,0)</f>
        <v>0</v>
      </c>
      <c r="M95" s="1" t="s">
        <v>14</v>
      </c>
      <c r="N95">
        <f>VLOOKUP(B95,'Small Pricelist'!A:L,7,0)</f>
        <v>0</v>
      </c>
      <c r="O95" s="1" t="s">
        <v>14</v>
      </c>
      <c r="P95">
        <f>VLOOKUP(B95,'Small Pricelist'!A:L,8,0)</f>
        <v>5669.3105999999998</v>
      </c>
      <c r="Q95" s="1" t="s">
        <v>14</v>
      </c>
      <c r="R95">
        <f>VLOOKUP(B95,'Small Pricelist'!A:L,9,0)</f>
        <v>428.68940000000021</v>
      </c>
      <c r="S95" s="1" t="s">
        <v>14</v>
      </c>
      <c r="T95">
        <f>VLOOKUP(B95,'Small Pricelist'!A:L,10,0)</f>
        <v>21.434469999999976</v>
      </c>
      <c r="U95" s="1" t="s">
        <v>14</v>
      </c>
      <c r="V95">
        <f>VLOOKUP(B95,'Small Pricelist'!A:L,11,0)</f>
        <v>7.5615790039797819</v>
      </c>
      <c r="W95" s="1" t="s">
        <v>14</v>
      </c>
      <c r="X95">
        <f>VLOOKUP(B95,'Small Pricelist'!A:L,12,0)</f>
        <v>5669.3106000000034</v>
      </c>
      <c r="Y95" s="1" t="s">
        <v>12</v>
      </c>
      <c r="Z95" s="25" t="str">
        <f t="shared" si="1"/>
        <v>&lt;tr&gt; &lt;td&gt;4501265&lt;/td&gt;&lt;td&gt;SERVOCUT S - 20L BUC&lt;/td&gt;&lt;td&gt;6098&lt;/td&gt;&lt;td&gt;5669.3106&lt;/td&gt;&lt;td&gt;0&lt;/td&gt;&lt;td&gt;0&lt;/td&gt;&lt;td&gt;0&lt;/td&gt;&lt;td&gt;5669.3106&lt;/td&gt;&lt;td&gt;428.6894&lt;/td&gt;&lt;td&gt;21.43447&lt;/td&gt;&lt;td&gt;7.56157900397978&lt;/td&gt;&lt;td&gt;5669.3106&lt;/td&gt;&lt;/tr&gt;</v>
      </c>
    </row>
    <row r="96" spans="1:26" x14ac:dyDescent="0.3">
      <c r="A96" s="1" t="s">
        <v>13</v>
      </c>
      <c r="B96">
        <f>'Small Pricelist'!A95</f>
        <v>4906175</v>
      </c>
      <c r="C96" s="1" t="s">
        <v>14</v>
      </c>
      <c r="D96" t="str">
        <f>VLOOKUP(B96,'Small Pricelist'!A:L,2,0)</f>
        <v>SERVO TRANSFLUID A-20X1/2 L</v>
      </c>
      <c r="E96" s="1" t="s">
        <v>14</v>
      </c>
      <c r="F96">
        <f>VLOOKUP(B96,'Small Pricelist'!A:L,3,0)</f>
        <v>221</v>
      </c>
      <c r="G96" s="1" t="s">
        <v>14</v>
      </c>
      <c r="H96">
        <f>VLOOKUP(B96,'Small Pricelist'!A:L,4,0)</f>
        <v>172.1369</v>
      </c>
      <c r="I96" s="1" t="s">
        <v>14</v>
      </c>
      <c r="J96">
        <f>VLOOKUP(B96,'Small Pricelist'!A:L,5,0)</f>
        <v>9</v>
      </c>
      <c r="K96" s="1" t="s">
        <v>14</v>
      </c>
      <c r="L96">
        <f>VLOOKUP(B96,'Small Pricelist'!A:L,6,0)</f>
        <v>0</v>
      </c>
      <c r="M96" s="1" t="s">
        <v>14</v>
      </c>
      <c r="N96">
        <f>VLOOKUP(B96,'Small Pricelist'!A:L,7,0)</f>
        <v>0</v>
      </c>
      <c r="O96" s="1" t="s">
        <v>14</v>
      </c>
      <c r="P96">
        <f>VLOOKUP(B96,'Small Pricelist'!A:L,8,0)</f>
        <v>166.82689999999999</v>
      </c>
      <c r="Q96" s="1" t="s">
        <v>14</v>
      </c>
      <c r="R96">
        <f>VLOOKUP(B96,'Small Pricelist'!A:L,9,0)</f>
        <v>54.173100000000005</v>
      </c>
      <c r="S96" s="1" t="s">
        <v>14</v>
      </c>
      <c r="T96">
        <f>VLOOKUP(B96,'Small Pricelist'!A:L,10,0)</f>
        <v>108.34620000000001</v>
      </c>
      <c r="U96" s="1" t="s">
        <v>14</v>
      </c>
      <c r="V96">
        <f>VLOOKUP(B96,'Small Pricelist'!A:L,11,0)</f>
        <v>32.472640803131874</v>
      </c>
      <c r="W96" s="1" t="s">
        <v>14</v>
      </c>
      <c r="X96">
        <f>VLOOKUP(B96,'Small Pricelist'!A:L,12,0)</f>
        <v>3336.5380000000018</v>
      </c>
      <c r="Y96" s="1" t="s">
        <v>12</v>
      </c>
      <c r="Z96" s="25" t="str">
        <f t="shared" si="1"/>
        <v>&lt;tr&gt; &lt;td&gt;4906175&lt;/td&gt;&lt;td&gt;SERVO TRANSFLUID A-20X1/2 L&lt;/td&gt;&lt;td&gt;221&lt;/td&gt;&lt;td&gt;172.1369&lt;/td&gt;&lt;td&gt;9&lt;/td&gt;&lt;td&gt;0&lt;/td&gt;&lt;td&gt;0&lt;/td&gt;&lt;td&gt;166.8269&lt;/td&gt;&lt;td&gt;54.1731&lt;/td&gt;&lt;td&gt;108.3462&lt;/td&gt;&lt;td&gt;32.4726408031319&lt;/td&gt;&lt;td&gt;3336.538&lt;/td&gt;&lt;/tr&gt;</v>
      </c>
    </row>
    <row r="97" spans="1:26" x14ac:dyDescent="0.3">
      <c r="A97" s="1" t="s">
        <v>13</v>
      </c>
      <c r="B97">
        <f>'Small Pricelist'!A96</f>
        <v>4906184</v>
      </c>
      <c r="C97" s="1" t="s">
        <v>14</v>
      </c>
      <c r="D97" t="str">
        <f>VLOOKUP(B97,'Small Pricelist'!A:L,2,0)</f>
        <v>SERVO TRANSFLUID A-20X1L-HDPE</v>
      </c>
      <c r="E97" s="1" t="s">
        <v>14</v>
      </c>
      <c r="F97">
        <f>VLOOKUP(B97,'Small Pricelist'!A:L,3,0)</f>
        <v>420</v>
      </c>
      <c r="G97" s="1" t="s">
        <v>14</v>
      </c>
      <c r="H97">
        <f>VLOOKUP(B97,'Small Pricelist'!A:L,4,0)</f>
        <v>332.59799999999996</v>
      </c>
      <c r="I97" s="1" t="s">
        <v>14</v>
      </c>
      <c r="J97">
        <f>VLOOKUP(B97,'Small Pricelist'!A:L,5,0)</f>
        <v>9</v>
      </c>
      <c r="K97" s="1" t="s">
        <v>14</v>
      </c>
      <c r="L97">
        <f>VLOOKUP(B97,'Small Pricelist'!A:L,6,0)</f>
        <v>0</v>
      </c>
      <c r="M97" s="1" t="s">
        <v>14</v>
      </c>
      <c r="N97">
        <f>VLOOKUP(B97,'Small Pricelist'!A:L,7,0)</f>
        <v>0</v>
      </c>
      <c r="O97" s="1" t="s">
        <v>14</v>
      </c>
      <c r="P97">
        <f>VLOOKUP(B97,'Small Pricelist'!A:L,8,0)</f>
        <v>321.97799999999995</v>
      </c>
      <c r="Q97" s="1" t="s">
        <v>14</v>
      </c>
      <c r="R97">
        <f>VLOOKUP(B97,'Small Pricelist'!A:L,9,0)</f>
        <v>98.022000000000048</v>
      </c>
      <c r="S97" s="1" t="s">
        <v>14</v>
      </c>
      <c r="T97">
        <f>VLOOKUP(B97,'Small Pricelist'!A:L,10,0)</f>
        <v>98.022000000000048</v>
      </c>
      <c r="U97" s="1" t="s">
        <v>14</v>
      </c>
      <c r="V97">
        <f>VLOOKUP(B97,'Small Pricelist'!A:L,11,0)</f>
        <v>30.443694910832438</v>
      </c>
      <c r="W97" s="1" t="s">
        <v>14</v>
      </c>
      <c r="X97">
        <f>VLOOKUP(B97,'Small Pricelist'!A:L,12,0)</f>
        <v>6439.560000000004</v>
      </c>
      <c r="Y97" s="1" t="s">
        <v>12</v>
      </c>
      <c r="Z97" s="25" t="str">
        <f t="shared" si="1"/>
        <v>&lt;tr&gt; &lt;td&gt;4906184&lt;/td&gt;&lt;td&gt;SERVO TRANSFLUID A-20X1L-HDPE&lt;/td&gt;&lt;td&gt;420&lt;/td&gt;&lt;td&gt;332.598&lt;/td&gt;&lt;td&gt;9&lt;/td&gt;&lt;td&gt;0&lt;/td&gt;&lt;td&gt;0&lt;/td&gt;&lt;td&gt;321.978&lt;/td&gt;&lt;td&gt;98.022&lt;/td&gt;&lt;td&gt;98.022&lt;/td&gt;&lt;td&gt;30.4436949108324&lt;/td&gt;&lt;td&gt;6439.56&lt;/td&gt;&lt;/tr&gt;</v>
      </c>
    </row>
    <row r="98" spans="1:26" x14ac:dyDescent="0.3">
      <c r="A98" s="1" t="s">
        <v>13</v>
      </c>
      <c r="B98">
        <f>'Small Pricelist'!A97</f>
        <v>4906234</v>
      </c>
      <c r="C98" s="1" t="s">
        <v>14</v>
      </c>
      <c r="D98" t="str">
        <f>VLOOKUP(B98,'Small Pricelist'!A:L,2,0)</f>
        <v>SERVO TRANSFLUID A-4X5L-HDPE</v>
      </c>
      <c r="E98" s="1" t="s">
        <v>14</v>
      </c>
      <c r="F98">
        <f>VLOOKUP(B98,'Small Pricelist'!A:L,3,0)</f>
        <v>2000</v>
      </c>
      <c r="G98" s="1" t="s">
        <v>14</v>
      </c>
      <c r="H98">
        <f>VLOOKUP(B98,'Small Pricelist'!A:L,4,0)</f>
        <v>1628</v>
      </c>
      <c r="I98" s="1" t="s">
        <v>14</v>
      </c>
      <c r="J98">
        <f>VLOOKUP(B98,'Small Pricelist'!A:L,5,0)</f>
        <v>9</v>
      </c>
      <c r="K98" s="1" t="s">
        <v>14</v>
      </c>
      <c r="L98">
        <f>VLOOKUP(B98,'Small Pricelist'!A:L,6,0)</f>
        <v>0</v>
      </c>
      <c r="M98" s="1" t="s">
        <v>14</v>
      </c>
      <c r="N98">
        <f>VLOOKUP(B98,'Small Pricelist'!A:L,7,0)</f>
        <v>0</v>
      </c>
      <c r="O98" s="1" t="s">
        <v>14</v>
      </c>
      <c r="P98">
        <f>VLOOKUP(B98,'Small Pricelist'!A:L,8,0)</f>
        <v>1574.8999999999999</v>
      </c>
      <c r="Q98" s="1" t="s">
        <v>14</v>
      </c>
      <c r="R98">
        <f>VLOOKUP(B98,'Small Pricelist'!A:L,9,0)</f>
        <v>425.10000000000014</v>
      </c>
      <c r="S98" s="1" t="s">
        <v>14</v>
      </c>
      <c r="T98">
        <f>VLOOKUP(B98,'Small Pricelist'!A:L,10,0)</f>
        <v>85.020000000000039</v>
      </c>
      <c r="U98" s="1" t="s">
        <v>14</v>
      </c>
      <c r="V98">
        <f>VLOOKUP(B98,'Small Pricelist'!A:L,11,0)</f>
        <v>26.992189980316223</v>
      </c>
      <c r="W98" s="1" t="s">
        <v>14</v>
      </c>
      <c r="X98">
        <f>VLOOKUP(B98,'Small Pricelist'!A:L,12,0)</f>
        <v>6299.600000000004</v>
      </c>
      <c r="Y98" s="1" t="s">
        <v>12</v>
      </c>
      <c r="Z98" s="25" t="str">
        <f t="shared" si="1"/>
        <v>&lt;tr&gt; &lt;td&gt;4906234&lt;/td&gt;&lt;td&gt;SERVO TRANSFLUID A-4X5L-HDPE&lt;/td&gt;&lt;td&gt;2000&lt;/td&gt;&lt;td&gt;1628&lt;/td&gt;&lt;td&gt;9&lt;/td&gt;&lt;td&gt;0&lt;/td&gt;&lt;td&gt;0&lt;/td&gt;&lt;td&gt;1574.9&lt;/td&gt;&lt;td&gt;425.1&lt;/td&gt;&lt;td&gt;85.02&lt;/td&gt;&lt;td&gt;26.9921899803162&lt;/td&gt;&lt;td&gt;6299.6&lt;/td&gt;&lt;/tr&gt;</v>
      </c>
    </row>
    <row r="99" spans="1:26" x14ac:dyDescent="0.3">
      <c r="A99" s="1" t="s">
        <v>13</v>
      </c>
      <c r="B99">
        <f>'Small Pricelist'!A98</f>
        <v>4929242</v>
      </c>
      <c r="C99" s="1" t="s">
        <v>14</v>
      </c>
      <c r="D99" t="str">
        <f>VLOOKUP(B99,'Small Pricelist'!A:L,2,0)</f>
        <v>MAHINDRA EM TRNSMISON OIL-10 L</v>
      </c>
      <c r="E99" s="1" t="s">
        <v>14</v>
      </c>
      <c r="F99">
        <f>VLOOKUP(B99,'Small Pricelist'!A:L,3,0)</f>
        <v>4400</v>
      </c>
      <c r="G99" s="1" t="s">
        <v>14</v>
      </c>
      <c r="H99">
        <f>VLOOKUP(B99,'Small Pricelist'!A:L,4,0)</f>
        <v>3927.44</v>
      </c>
      <c r="I99" s="1" t="s">
        <v>14</v>
      </c>
      <c r="J99">
        <f>VLOOKUP(B99,'Small Pricelist'!A:L,5,0)</f>
        <v>0</v>
      </c>
      <c r="K99" s="1" t="s">
        <v>14</v>
      </c>
      <c r="L99">
        <f>VLOOKUP(B99,'Small Pricelist'!A:L,6,0)</f>
        <v>0</v>
      </c>
      <c r="M99" s="1" t="s">
        <v>14</v>
      </c>
      <c r="N99">
        <f>VLOOKUP(B99,'Small Pricelist'!A:L,7,0)</f>
        <v>0</v>
      </c>
      <c r="O99" s="1" t="s">
        <v>14</v>
      </c>
      <c r="P99">
        <f>VLOOKUP(B99,'Small Pricelist'!A:L,8,0)</f>
        <v>3927.44</v>
      </c>
      <c r="Q99" s="1" t="s">
        <v>14</v>
      </c>
      <c r="R99">
        <f>VLOOKUP(B99,'Small Pricelist'!A:L,9,0)</f>
        <v>472.55999999999995</v>
      </c>
      <c r="S99" s="1" t="s">
        <v>14</v>
      </c>
      <c r="T99">
        <f>VLOOKUP(B99,'Small Pricelist'!A:L,10,0)</f>
        <v>47.255999999999972</v>
      </c>
      <c r="U99" s="1" t="s">
        <v>14</v>
      </c>
      <c r="V99">
        <f>VLOOKUP(B99,'Small Pricelist'!A:L,11,0)</f>
        <v>12.032265292404212</v>
      </c>
      <c r="W99" s="1" t="s">
        <v>14</v>
      </c>
      <c r="X99">
        <f>VLOOKUP(B99,'Small Pricelist'!A:L,12,0)</f>
        <v>3927.4400000000019</v>
      </c>
      <c r="Y99" s="1" t="s">
        <v>12</v>
      </c>
      <c r="Z99" s="25" t="str">
        <f t="shared" si="1"/>
        <v>&lt;tr&gt; &lt;td&gt;4929242&lt;/td&gt;&lt;td&gt;MAHINDRA EM TRNSMISON OIL-10 L&lt;/td&gt;&lt;td&gt;4400&lt;/td&gt;&lt;td&gt;3927.44&lt;/td&gt;&lt;td&gt;0&lt;/td&gt;&lt;td&gt;0&lt;/td&gt;&lt;td&gt;0&lt;/td&gt;&lt;td&gt;3927.44&lt;/td&gt;&lt;td&gt;472.56&lt;/td&gt;&lt;td&gt;47.256&lt;/td&gt;&lt;td&gt;12.0322652924042&lt;/td&gt;&lt;td&gt;3927.44&lt;/td&gt;&lt;/tr&gt;</v>
      </c>
    </row>
    <row r="100" spans="1:26" x14ac:dyDescent="0.3">
      <c r="A100" s="1" t="s">
        <v>13</v>
      </c>
      <c r="B100">
        <f>'Small Pricelist'!A99</f>
        <v>4929256</v>
      </c>
      <c r="C100" s="1" t="s">
        <v>14</v>
      </c>
      <c r="D100" t="str">
        <f>VLOOKUP(B100,'Small Pricelist'!A:L,2,0)</f>
        <v>MAHINDRA EM TRNSMISON OIL-15 L</v>
      </c>
      <c r="E100" s="1" t="s">
        <v>14</v>
      </c>
      <c r="F100">
        <f>VLOOKUP(B100,'Small Pricelist'!A:L,3,0)</f>
        <v>5985</v>
      </c>
      <c r="G100" s="1" t="s">
        <v>14</v>
      </c>
      <c r="H100">
        <f>VLOOKUP(B100,'Small Pricelist'!A:L,4,0)</f>
        <v>5342.2109999999993</v>
      </c>
      <c r="I100" s="1" t="s">
        <v>14</v>
      </c>
      <c r="J100">
        <f>VLOOKUP(B100,'Small Pricelist'!A:L,5,0)</f>
        <v>0</v>
      </c>
      <c r="K100" s="1" t="s">
        <v>14</v>
      </c>
      <c r="L100">
        <f>VLOOKUP(B100,'Small Pricelist'!A:L,6,0)</f>
        <v>0</v>
      </c>
      <c r="M100" s="1" t="s">
        <v>14</v>
      </c>
      <c r="N100">
        <f>VLOOKUP(B100,'Small Pricelist'!A:L,7,0)</f>
        <v>0</v>
      </c>
      <c r="O100" s="1" t="s">
        <v>14</v>
      </c>
      <c r="P100">
        <f>VLOOKUP(B100,'Small Pricelist'!A:L,8,0)</f>
        <v>5342.2109999999993</v>
      </c>
      <c r="Q100" s="1" t="s">
        <v>14</v>
      </c>
      <c r="R100">
        <f>VLOOKUP(B100,'Small Pricelist'!A:L,9,0)</f>
        <v>642.78900000000067</v>
      </c>
      <c r="S100" s="1" t="s">
        <v>14</v>
      </c>
      <c r="T100">
        <f>VLOOKUP(B100,'Small Pricelist'!A:L,10,0)</f>
        <v>42.852600000000052</v>
      </c>
      <c r="U100" s="1" t="s">
        <v>14</v>
      </c>
      <c r="V100">
        <f>VLOOKUP(B100,'Small Pricelist'!A:L,11,0)</f>
        <v>12.032265292404226</v>
      </c>
      <c r="W100" s="1" t="s">
        <v>14</v>
      </c>
      <c r="X100">
        <f>VLOOKUP(B100,'Small Pricelist'!A:L,12,0)</f>
        <v>5342.211000000003</v>
      </c>
      <c r="Y100" s="1" t="s">
        <v>12</v>
      </c>
      <c r="Z100" s="25" t="str">
        <f t="shared" si="1"/>
        <v>&lt;tr&gt; &lt;td&gt;4929256&lt;/td&gt;&lt;td&gt;MAHINDRA EM TRNSMISON OIL-15 L&lt;/td&gt;&lt;td&gt;5985&lt;/td&gt;&lt;td&gt;5342.211&lt;/td&gt;&lt;td&gt;0&lt;/td&gt;&lt;td&gt;0&lt;/td&gt;&lt;td&gt;0&lt;/td&gt;&lt;td&gt;5342.211&lt;/td&gt;&lt;td&gt;642.789000000001&lt;/td&gt;&lt;td&gt;42.8526000000001&lt;/td&gt;&lt;td&gt;12.0322652924042&lt;/td&gt;&lt;td&gt;5342.211&lt;/td&gt;&lt;/tr&gt;</v>
      </c>
    </row>
    <row r="101" spans="1:26" x14ac:dyDescent="0.3">
      <c r="A101" s="1" t="s">
        <v>13</v>
      </c>
      <c r="B101">
        <f>'Small Pricelist'!A100</f>
        <v>4943184</v>
      </c>
      <c r="C101" s="1" t="s">
        <v>14</v>
      </c>
      <c r="D101" t="str">
        <f>VLOOKUP(B101,'Small Pricelist'!A:L,2,0)</f>
        <v>HYUNDAI SERVO STEERING OIL-20x1L-HDPE-NE</v>
      </c>
      <c r="E101" s="1" t="s">
        <v>14</v>
      </c>
      <c r="F101">
        <f>VLOOKUP(B101,'Small Pricelist'!A:L,3,0)</f>
        <v>350</v>
      </c>
      <c r="G101" s="1" t="s">
        <v>14</v>
      </c>
      <c r="H101">
        <f>VLOOKUP(B101,'Small Pricelist'!A:L,4,0)</f>
        <v>296.66000000000003</v>
      </c>
      <c r="I101" s="1" t="s">
        <v>14</v>
      </c>
      <c r="J101">
        <f>VLOOKUP(B101,'Small Pricelist'!A:L,5,0)</f>
        <v>0</v>
      </c>
      <c r="K101" s="1" t="s">
        <v>14</v>
      </c>
      <c r="L101">
        <f>VLOOKUP(B101,'Small Pricelist'!A:L,6,0)</f>
        <v>0</v>
      </c>
      <c r="M101" s="1" t="s">
        <v>14</v>
      </c>
      <c r="N101">
        <f>VLOOKUP(B101,'Small Pricelist'!A:L,7,0)</f>
        <v>0</v>
      </c>
      <c r="O101" s="1" t="s">
        <v>14</v>
      </c>
      <c r="P101">
        <f>VLOOKUP(B101,'Small Pricelist'!A:L,8,0)</f>
        <v>296.66000000000003</v>
      </c>
      <c r="Q101" s="1" t="s">
        <v>14</v>
      </c>
      <c r="R101">
        <f>VLOOKUP(B101,'Small Pricelist'!A:L,9,0)</f>
        <v>53.339999999999975</v>
      </c>
      <c r="S101" s="1" t="s">
        <v>14</v>
      </c>
      <c r="T101">
        <f>VLOOKUP(B101,'Small Pricelist'!A:L,10,0)</f>
        <v>53.339999999999975</v>
      </c>
      <c r="U101" s="1" t="s">
        <v>14</v>
      </c>
      <c r="V101">
        <f>VLOOKUP(B101,'Small Pricelist'!A:L,11,0)</f>
        <v>17.980179329872573</v>
      </c>
      <c r="W101" s="1" t="s">
        <v>14</v>
      </c>
      <c r="X101">
        <f>VLOOKUP(B101,'Small Pricelist'!A:L,12,0)</f>
        <v>5933.2000000000044</v>
      </c>
      <c r="Y101" s="1" t="s">
        <v>12</v>
      </c>
      <c r="Z101" s="25" t="str">
        <f t="shared" si="1"/>
        <v>&lt;tr&gt; &lt;td&gt;4943184&lt;/td&gt;&lt;td&gt;HYUNDAI SERVO STEERING OIL-20x1L-HDPE-NE&lt;/td&gt;&lt;td&gt;350&lt;/td&gt;&lt;td&gt;296.66&lt;/td&gt;&lt;td&gt;0&lt;/td&gt;&lt;td&gt;0&lt;/td&gt;&lt;td&gt;0&lt;/td&gt;&lt;td&gt;296.66&lt;/td&gt;&lt;td&gt;53.34&lt;/td&gt;&lt;td&gt;53.34&lt;/td&gt;&lt;td&gt;17.9801793298726&lt;/td&gt;&lt;td&gt;5933.2&lt;/td&gt;&lt;/tr&gt;</v>
      </c>
    </row>
    <row r="102" spans="1:26" x14ac:dyDescent="0.3">
      <c r="A102" s="1" t="s">
        <v>13</v>
      </c>
      <c r="B102">
        <f>'Small Pricelist'!A101</f>
        <v>4950184</v>
      </c>
      <c r="C102" s="1" t="s">
        <v>14</v>
      </c>
      <c r="D102" t="str">
        <f>VLOOKUP(B102,'Small Pricelist'!A:L,2,0)</f>
        <v>SERVO OIB OIL-20 X 1 L</v>
      </c>
      <c r="E102" s="1" t="s">
        <v>14</v>
      </c>
      <c r="F102">
        <f>VLOOKUP(B102,'Small Pricelist'!A:L,3,0)</f>
        <v>385</v>
      </c>
      <c r="G102" s="1" t="s">
        <v>14</v>
      </c>
      <c r="H102">
        <f>VLOOKUP(B102,'Small Pricelist'!A:L,4,0)</f>
        <v>311.58050000000003</v>
      </c>
      <c r="I102" s="1" t="s">
        <v>14</v>
      </c>
      <c r="J102">
        <f>VLOOKUP(B102,'Small Pricelist'!A:L,5,0)</f>
        <v>25</v>
      </c>
      <c r="K102" s="1" t="s">
        <v>14</v>
      </c>
      <c r="L102">
        <f>VLOOKUP(B102,'Small Pricelist'!A:L,6,0)</f>
        <v>0</v>
      </c>
      <c r="M102" s="1" t="s">
        <v>14</v>
      </c>
      <c r="N102">
        <f>VLOOKUP(B102,'Small Pricelist'!A:L,7,0)</f>
        <v>0</v>
      </c>
      <c r="O102" s="1" t="s">
        <v>14</v>
      </c>
      <c r="P102">
        <f>VLOOKUP(B102,'Small Pricelist'!A:L,8,0)</f>
        <v>282.08050000000003</v>
      </c>
      <c r="Q102" s="1" t="s">
        <v>14</v>
      </c>
      <c r="R102">
        <f>VLOOKUP(B102,'Small Pricelist'!A:L,9,0)</f>
        <v>102.91949999999997</v>
      </c>
      <c r="S102" s="1" t="s">
        <v>14</v>
      </c>
      <c r="T102">
        <f>VLOOKUP(B102,'Small Pricelist'!A:L,10,0)</f>
        <v>102.91949999999997</v>
      </c>
      <c r="U102" s="1" t="s">
        <v>14</v>
      </c>
      <c r="V102">
        <f>VLOOKUP(B102,'Small Pricelist'!A:L,11,0)</f>
        <v>36.485861305549285</v>
      </c>
      <c r="W102" s="1" t="s">
        <v>14</v>
      </c>
      <c r="X102">
        <f>VLOOKUP(B102,'Small Pricelist'!A:L,12,0)</f>
        <v>5641.6100000000042</v>
      </c>
      <c r="Y102" s="1" t="s">
        <v>12</v>
      </c>
      <c r="Z102" s="25" t="str">
        <f t="shared" si="1"/>
        <v>&lt;tr&gt; &lt;td&gt;4950184&lt;/td&gt;&lt;td&gt;SERVO OIB OIL-20 X 1 L&lt;/td&gt;&lt;td&gt;385&lt;/td&gt;&lt;td&gt;311.5805&lt;/td&gt;&lt;td&gt;25&lt;/td&gt;&lt;td&gt;0&lt;/td&gt;&lt;td&gt;0&lt;/td&gt;&lt;td&gt;282.0805&lt;/td&gt;&lt;td&gt;102.9195&lt;/td&gt;&lt;td&gt;102.9195&lt;/td&gt;&lt;td&gt;36.4858613055493&lt;/td&gt;&lt;td&gt;5641.61&lt;/td&gt;&lt;/tr&gt;</v>
      </c>
    </row>
    <row r="103" spans="1:26" x14ac:dyDescent="0.3">
      <c r="A103" s="1" t="s">
        <v>13</v>
      </c>
      <c r="B103">
        <f>'Small Pricelist'!A102</f>
        <v>4950234</v>
      </c>
      <c r="C103" s="1" t="s">
        <v>14</v>
      </c>
      <c r="D103" t="str">
        <f>VLOOKUP(B103,'Small Pricelist'!A:L,2,0)</f>
        <v>SERVO OIB OIL-4x5L - HDPE</v>
      </c>
      <c r="E103" s="1" t="s">
        <v>14</v>
      </c>
      <c r="F103">
        <f>VLOOKUP(B103,'Small Pricelist'!A:L,3,0)</f>
        <v>1900</v>
      </c>
      <c r="G103" s="1" t="s">
        <v>14</v>
      </c>
      <c r="H103">
        <f>VLOOKUP(B103,'Small Pricelist'!A:L,4,0)</f>
        <v>1534.44</v>
      </c>
      <c r="I103" s="1" t="s">
        <v>14</v>
      </c>
      <c r="J103">
        <f>VLOOKUP(B103,'Small Pricelist'!A:L,5,0)</f>
        <v>39</v>
      </c>
      <c r="K103" s="1" t="s">
        <v>14</v>
      </c>
      <c r="L103">
        <f>VLOOKUP(B103,'Small Pricelist'!A:L,6,0)</f>
        <v>0</v>
      </c>
      <c r="M103" s="1" t="s">
        <v>14</v>
      </c>
      <c r="N103">
        <f>VLOOKUP(B103,'Small Pricelist'!A:L,7,0)</f>
        <v>0</v>
      </c>
      <c r="O103" s="1" t="s">
        <v>14</v>
      </c>
      <c r="P103">
        <f>VLOOKUP(B103,'Small Pricelist'!A:L,8,0)</f>
        <v>1304.3400000000001</v>
      </c>
      <c r="Q103" s="1" t="s">
        <v>14</v>
      </c>
      <c r="R103">
        <f>VLOOKUP(B103,'Small Pricelist'!A:L,9,0)</f>
        <v>595.65999999999985</v>
      </c>
      <c r="S103" s="1" t="s">
        <v>14</v>
      </c>
      <c r="T103">
        <f>VLOOKUP(B103,'Small Pricelist'!A:L,10,0)</f>
        <v>119.13199999999995</v>
      </c>
      <c r="U103" s="1" t="s">
        <v>14</v>
      </c>
      <c r="V103">
        <f>VLOOKUP(B103,'Small Pricelist'!A:L,11,0)</f>
        <v>45.667540671910686</v>
      </c>
      <c r="W103" s="1" t="s">
        <v>14</v>
      </c>
      <c r="X103">
        <f>VLOOKUP(B103,'Small Pricelist'!A:L,12,0)</f>
        <v>5217.3600000000042</v>
      </c>
      <c r="Y103" s="1" t="s">
        <v>12</v>
      </c>
      <c r="Z103" s="25" t="str">
        <f t="shared" si="1"/>
        <v>&lt;tr&gt; &lt;td&gt;4950234&lt;/td&gt;&lt;td&gt;SERVO OIB OIL-4x5L - HDPE&lt;/td&gt;&lt;td&gt;1900&lt;/td&gt;&lt;td&gt;1534.44&lt;/td&gt;&lt;td&gt;39&lt;/td&gt;&lt;td&gt;0&lt;/td&gt;&lt;td&gt;0&lt;/td&gt;&lt;td&gt;1304.34&lt;/td&gt;&lt;td&gt;595.66&lt;/td&gt;&lt;td&gt;119.132&lt;/td&gt;&lt;td&gt;45.6675406719107&lt;/td&gt;&lt;td&gt;5217.36&lt;/td&gt;&lt;/tr&gt;</v>
      </c>
    </row>
    <row r="104" spans="1:26" x14ac:dyDescent="0.3">
      <c r="A104" s="1" t="s">
        <v>13</v>
      </c>
      <c r="B104">
        <f>'Small Pricelist'!A103</f>
        <v>4950269</v>
      </c>
      <c r="C104" s="1" t="s">
        <v>14</v>
      </c>
      <c r="D104" t="str">
        <f>VLOOKUP(B104,'Small Pricelist'!A:L,2,0)</f>
        <v>SERVO OIB OIL -20L PROMO</v>
      </c>
      <c r="E104" s="1" t="s">
        <v>14</v>
      </c>
      <c r="F104">
        <f>VLOOKUP(B104,'Small Pricelist'!A:L,3,0)</f>
        <v>6620</v>
      </c>
      <c r="G104" s="1" t="s">
        <v>14</v>
      </c>
      <c r="H104">
        <f>VLOOKUP(B104,'Small Pricelist'!A:L,4,0)</f>
        <v>5449.5839999999989</v>
      </c>
      <c r="I104" s="1" t="s">
        <v>14</v>
      </c>
      <c r="J104">
        <f>VLOOKUP(B104,'Small Pricelist'!A:L,5,0)</f>
        <v>34</v>
      </c>
      <c r="K104" s="1" t="s">
        <v>14</v>
      </c>
      <c r="L104">
        <f>VLOOKUP(B104,'Small Pricelist'!A:L,6,0)</f>
        <v>0</v>
      </c>
      <c r="M104" s="1" t="s">
        <v>14</v>
      </c>
      <c r="N104">
        <f>VLOOKUP(B104,'Small Pricelist'!A:L,7,0)</f>
        <v>0</v>
      </c>
      <c r="O104" s="1" t="s">
        <v>14</v>
      </c>
      <c r="P104">
        <f>VLOOKUP(B104,'Small Pricelist'!A:L,8,0)</f>
        <v>4647.1839999999984</v>
      </c>
      <c r="Q104" s="1" t="s">
        <v>14</v>
      </c>
      <c r="R104">
        <f>VLOOKUP(B104,'Small Pricelist'!A:L,9,0)</f>
        <v>1972.8160000000016</v>
      </c>
      <c r="S104" s="1" t="s">
        <v>14</v>
      </c>
      <c r="T104">
        <f>VLOOKUP(B104,'Small Pricelist'!A:L,10,0)</f>
        <v>98.64080000000007</v>
      </c>
      <c r="U104" s="1" t="s">
        <v>14</v>
      </c>
      <c r="V104">
        <f>VLOOKUP(B104,'Small Pricelist'!A:L,11,0)</f>
        <v>42.451859018278647</v>
      </c>
      <c r="W104" s="1" t="s">
        <v>14</v>
      </c>
      <c r="X104">
        <f>VLOOKUP(B104,'Small Pricelist'!A:L,12,0)</f>
        <v>4647.1839999999984</v>
      </c>
      <c r="Y104" s="1" t="s">
        <v>12</v>
      </c>
      <c r="Z104" s="25" t="str">
        <f t="shared" si="1"/>
        <v>&lt;tr&gt; &lt;td&gt;4950269&lt;/td&gt;&lt;td&gt;SERVO OIB OIL -20L PROMO&lt;/td&gt;&lt;td&gt;6620&lt;/td&gt;&lt;td&gt;5449.584&lt;/td&gt;&lt;td&gt;34&lt;/td&gt;&lt;td&gt;0&lt;/td&gt;&lt;td&gt;0&lt;/td&gt;&lt;td&gt;4647.184&lt;/td&gt;&lt;td&gt;1972.816&lt;/td&gt;&lt;td&gt;98.6408000000001&lt;/td&gt;&lt;td&gt;42.4518590182786&lt;/td&gt;&lt;td&gt;4647.184&lt;/td&gt;&lt;/tr&gt;</v>
      </c>
    </row>
    <row r="105" spans="1:26" x14ac:dyDescent="0.3">
      <c r="A105" s="1" t="s">
        <v>13</v>
      </c>
      <c r="B105">
        <f>'Small Pricelist'!A104</f>
        <v>5034184</v>
      </c>
      <c r="C105" s="1" t="s">
        <v>14</v>
      </c>
      <c r="D105" t="str">
        <f>VLOOKUP(B105,'Small Pricelist'!A:L,2,0)</f>
        <v>SERVO GAS ENGINE OIL - 20x1L - HDPE</v>
      </c>
      <c r="E105" s="1" t="s">
        <v>14</v>
      </c>
      <c r="F105">
        <f>VLOOKUP(B105,'Small Pricelist'!A:L,3,0)</f>
        <v>325</v>
      </c>
      <c r="G105" s="1" t="s">
        <v>14</v>
      </c>
      <c r="H105">
        <f>VLOOKUP(B105,'Small Pricelist'!A:L,4,0)</f>
        <v>237.60749999999999</v>
      </c>
      <c r="I105" s="1" t="s">
        <v>14</v>
      </c>
      <c r="J105">
        <f>VLOOKUP(B105,'Small Pricelist'!A:L,5,0)</f>
        <v>13</v>
      </c>
      <c r="K105" s="1" t="s">
        <v>14</v>
      </c>
      <c r="L105">
        <f>VLOOKUP(B105,'Small Pricelist'!A:L,6,0)</f>
        <v>0</v>
      </c>
      <c r="M105" s="1" t="s">
        <v>14</v>
      </c>
      <c r="N105">
        <f>VLOOKUP(B105,'Small Pricelist'!A:L,7,0)</f>
        <v>0</v>
      </c>
      <c r="O105" s="1" t="s">
        <v>14</v>
      </c>
      <c r="P105">
        <f>VLOOKUP(B105,'Small Pricelist'!A:L,8,0)</f>
        <v>222.26749999999998</v>
      </c>
      <c r="Q105" s="1" t="s">
        <v>14</v>
      </c>
      <c r="R105">
        <f>VLOOKUP(B105,'Small Pricelist'!A:L,9,0)</f>
        <v>102.73250000000002</v>
      </c>
      <c r="S105" s="1" t="s">
        <v>14</v>
      </c>
      <c r="T105">
        <f>VLOOKUP(B105,'Small Pricelist'!A:L,10,0)</f>
        <v>102.73250000000002</v>
      </c>
      <c r="U105" s="1" t="s">
        <v>14</v>
      </c>
      <c r="V105">
        <f>VLOOKUP(B105,'Small Pricelist'!A:L,11,0)</f>
        <v>46.220207632694851</v>
      </c>
      <c r="W105" s="1" t="s">
        <v>14</v>
      </c>
      <c r="X105">
        <f>VLOOKUP(B105,'Small Pricelist'!A:L,12,0)</f>
        <v>4445.3500000000031</v>
      </c>
      <c r="Y105" s="1" t="s">
        <v>12</v>
      </c>
      <c r="Z105" s="25" t="str">
        <f t="shared" si="1"/>
        <v>&lt;tr&gt; &lt;td&gt;5034184&lt;/td&gt;&lt;td&gt;SERVO GAS ENGINE OIL - 20x1L - HDPE&lt;/td&gt;&lt;td&gt;325&lt;/td&gt;&lt;td&gt;237.6075&lt;/td&gt;&lt;td&gt;13&lt;/td&gt;&lt;td&gt;0&lt;/td&gt;&lt;td&gt;0&lt;/td&gt;&lt;td&gt;222.2675&lt;/td&gt;&lt;td&gt;102.7325&lt;/td&gt;&lt;td&gt;102.7325&lt;/td&gt;&lt;td&gt;46.2202076326949&lt;/td&gt;&lt;td&gt;4445.35&lt;/td&gt;&lt;/tr&gt;</v>
      </c>
    </row>
    <row r="106" spans="1:26" x14ac:dyDescent="0.3">
      <c r="A106" s="1" t="s">
        <v>13</v>
      </c>
      <c r="B106">
        <f>'Small Pricelist'!A105</f>
        <v>5034203</v>
      </c>
      <c r="C106" s="1" t="s">
        <v>14</v>
      </c>
      <c r="D106" t="str">
        <f>VLOOKUP(B106,'Small Pricelist'!A:L,2,0)</f>
        <v>SERVO GAS ENGINE OIL-4X3L-HDPE</v>
      </c>
      <c r="E106" s="1" t="s">
        <v>14</v>
      </c>
      <c r="F106">
        <f>VLOOKUP(B106,'Small Pricelist'!A:L,3,0)</f>
        <v>1040</v>
      </c>
      <c r="G106" s="1" t="s">
        <v>14</v>
      </c>
      <c r="H106">
        <f>VLOOKUP(B106,'Small Pricelist'!A:L,4,0)</f>
        <v>771.05600000000004</v>
      </c>
      <c r="I106" s="1" t="s">
        <v>14</v>
      </c>
      <c r="J106">
        <f>VLOOKUP(B106,'Small Pricelist'!A:L,5,0)</f>
        <v>13</v>
      </c>
      <c r="K106" s="1" t="s">
        <v>14</v>
      </c>
      <c r="L106">
        <f>VLOOKUP(B106,'Small Pricelist'!A:L,6,0)</f>
        <v>0</v>
      </c>
      <c r="M106" s="1" t="s">
        <v>14</v>
      </c>
      <c r="N106">
        <f>VLOOKUP(B106,'Small Pricelist'!A:L,7,0)</f>
        <v>0</v>
      </c>
      <c r="O106" s="1" t="s">
        <v>14</v>
      </c>
      <c r="P106">
        <f>VLOOKUP(B106,'Small Pricelist'!A:L,8,0)</f>
        <v>725.03599999999994</v>
      </c>
      <c r="Q106" s="1" t="s">
        <v>14</v>
      </c>
      <c r="R106">
        <f>VLOOKUP(B106,'Small Pricelist'!A:L,9,0)</f>
        <v>314.96400000000006</v>
      </c>
      <c r="S106" s="1" t="s">
        <v>14</v>
      </c>
      <c r="T106">
        <f>VLOOKUP(B106,'Small Pricelist'!A:L,10,0)</f>
        <v>104.98800000000003</v>
      </c>
      <c r="U106" s="1" t="s">
        <v>14</v>
      </c>
      <c r="V106">
        <f>VLOOKUP(B106,'Small Pricelist'!A:L,11,0)</f>
        <v>43.441153266872277</v>
      </c>
      <c r="W106" s="1" t="s">
        <v>14</v>
      </c>
      <c r="X106">
        <f>VLOOKUP(B106,'Small Pricelist'!A:L,12,0)</f>
        <v>2900.1440000000011</v>
      </c>
      <c r="Y106" s="1" t="s">
        <v>12</v>
      </c>
      <c r="Z106" s="25" t="str">
        <f t="shared" si="1"/>
        <v>&lt;tr&gt; &lt;td&gt;5034203&lt;/td&gt;&lt;td&gt;SERVO GAS ENGINE OIL-4X3L-HDPE&lt;/td&gt;&lt;td&gt;1040&lt;/td&gt;&lt;td&gt;771.056&lt;/td&gt;&lt;td&gt;13&lt;/td&gt;&lt;td&gt;0&lt;/td&gt;&lt;td&gt;0&lt;/td&gt;&lt;td&gt;725.036&lt;/td&gt;&lt;td&gt;314.964&lt;/td&gt;&lt;td&gt;104.988&lt;/td&gt;&lt;td&gt;43.4411532668723&lt;/td&gt;&lt;td&gt;2900.144&lt;/td&gt;&lt;/tr&gt;</v>
      </c>
    </row>
    <row r="107" spans="1:26" x14ac:dyDescent="0.3">
      <c r="A107" s="1" t="s">
        <v>13</v>
      </c>
      <c r="B107">
        <f>'Small Pricelist'!A106</f>
        <v>5034229</v>
      </c>
      <c r="C107" s="1" t="s">
        <v>14</v>
      </c>
      <c r="D107" t="str">
        <f>VLOOKUP(B107,'Small Pricelist'!A:L,2,0)</f>
        <v>SERVO GAS ENGINE OIL-20 X 1 L PROMO</v>
      </c>
      <c r="E107" s="1" t="s">
        <v>14</v>
      </c>
      <c r="F107">
        <f>VLOOKUP(B107,'Small Pricelist'!A:L,3,0)</f>
        <v>355</v>
      </c>
      <c r="G107" s="1" t="s">
        <v>14</v>
      </c>
      <c r="H107">
        <f>VLOOKUP(B107,'Small Pricelist'!A:L,4,0)</f>
        <v>259.54050000000001</v>
      </c>
      <c r="I107" s="1" t="s">
        <v>14</v>
      </c>
      <c r="J107">
        <f>VLOOKUP(B107,'Small Pricelist'!A:L,5,0)</f>
        <v>13</v>
      </c>
      <c r="K107" s="1" t="s">
        <v>14</v>
      </c>
      <c r="L107">
        <f>VLOOKUP(B107,'Small Pricelist'!A:L,6,0)</f>
        <v>0</v>
      </c>
      <c r="M107" s="1" t="s">
        <v>14</v>
      </c>
      <c r="N107">
        <f>VLOOKUP(B107,'Small Pricelist'!A:L,7,0)</f>
        <v>0</v>
      </c>
      <c r="O107" s="1" t="s">
        <v>14</v>
      </c>
      <c r="P107">
        <f>VLOOKUP(B107,'Small Pricelist'!A:L,8,0)</f>
        <v>244.20050000000001</v>
      </c>
      <c r="Q107" s="1" t="s">
        <v>14</v>
      </c>
      <c r="R107">
        <f>VLOOKUP(B107,'Small Pricelist'!A:L,9,0)</f>
        <v>110.79949999999999</v>
      </c>
      <c r="S107" s="1" t="s">
        <v>14</v>
      </c>
      <c r="T107">
        <f>VLOOKUP(B107,'Small Pricelist'!A:L,10,0)</f>
        <v>110.79949999999999</v>
      </c>
      <c r="U107" s="1" t="s">
        <v>14</v>
      </c>
      <c r="V107">
        <f>VLOOKUP(B107,'Small Pricelist'!A:L,11,0)</f>
        <v>45.372347722465754</v>
      </c>
      <c r="W107" s="1" t="s">
        <v>14</v>
      </c>
      <c r="X107">
        <f>VLOOKUP(B107,'Small Pricelist'!A:L,12,0)</f>
        <v>4884.01</v>
      </c>
      <c r="Y107" s="1" t="s">
        <v>12</v>
      </c>
      <c r="Z107" s="25" t="str">
        <f t="shared" si="1"/>
        <v>&lt;tr&gt; &lt;td&gt;5034229&lt;/td&gt;&lt;td&gt;SERVO GAS ENGINE OIL-20 X 1 L PROMO&lt;/td&gt;&lt;td&gt;355&lt;/td&gt;&lt;td&gt;259.5405&lt;/td&gt;&lt;td&gt;13&lt;/td&gt;&lt;td&gt;0&lt;/td&gt;&lt;td&gt;0&lt;/td&gt;&lt;td&gt;244.2005&lt;/td&gt;&lt;td&gt;110.7995&lt;/td&gt;&lt;td&gt;110.7995&lt;/td&gt;&lt;td&gt;45.3723477224658&lt;/td&gt;&lt;td&gt;4884.01&lt;/td&gt;&lt;/tr&gt;</v>
      </c>
    </row>
    <row r="108" spans="1:26" x14ac:dyDescent="0.3">
      <c r="A108" s="1" t="s">
        <v>13</v>
      </c>
      <c r="B108">
        <f>'Small Pricelist'!A107</f>
        <v>6488184</v>
      </c>
      <c r="C108" s="1" t="s">
        <v>14</v>
      </c>
      <c r="D108" t="str">
        <f>VLOOKUP(B108,'Small Pricelist'!A:L,2,0)</f>
        <v>SERVO TROPIKOOL-20 X 1 L</v>
      </c>
      <c r="E108" s="1" t="s">
        <v>14</v>
      </c>
      <c r="F108">
        <f>VLOOKUP(B108,'Small Pricelist'!A:L,3,0)</f>
        <v>295</v>
      </c>
      <c r="G108" s="1" t="s">
        <v>14</v>
      </c>
      <c r="H108">
        <f>VLOOKUP(B108,'Small Pricelist'!A:L,4,0)</f>
        <v>172.19149999999999</v>
      </c>
      <c r="I108" s="1" t="s">
        <v>14</v>
      </c>
      <c r="J108">
        <f>VLOOKUP(B108,'Small Pricelist'!A:L,5,0)</f>
        <v>0</v>
      </c>
      <c r="K108" s="1" t="s">
        <v>14</v>
      </c>
      <c r="L108">
        <f>VLOOKUP(B108,'Small Pricelist'!A:L,6,0)</f>
        <v>0</v>
      </c>
      <c r="M108" s="1" t="s">
        <v>14</v>
      </c>
      <c r="N108">
        <f>VLOOKUP(B108,'Small Pricelist'!A:L,7,0)</f>
        <v>0</v>
      </c>
      <c r="O108" s="1" t="s">
        <v>14</v>
      </c>
      <c r="P108">
        <f>VLOOKUP(B108,'Small Pricelist'!A:L,8,0)</f>
        <v>172.19149999999999</v>
      </c>
      <c r="Q108" s="1" t="s">
        <v>14</v>
      </c>
      <c r="R108">
        <f>VLOOKUP(B108,'Small Pricelist'!A:L,9,0)</f>
        <v>122.80850000000001</v>
      </c>
      <c r="S108" s="1" t="s">
        <v>14</v>
      </c>
      <c r="T108">
        <f>VLOOKUP(B108,'Small Pricelist'!A:L,10,0)</f>
        <v>122.80850000000001</v>
      </c>
      <c r="U108" s="1" t="s">
        <v>14</v>
      </c>
      <c r="V108">
        <f>VLOOKUP(B108,'Small Pricelist'!A:L,11,0)</f>
        <v>71.320884015761536</v>
      </c>
      <c r="W108" s="1" t="s">
        <v>14</v>
      </c>
      <c r="X108">
        <f>VLOOKUP(B108,'Small Pricelist'!A:L,12,0)</f>
        <v>3443.8300000000022</v>
      </c>
      <c r="Y108" s="1" t="s">
        <v>12</v>
      </c>
      <c r="Z108" s="25" t="str">
        <f t="shared" si="1"/>
        <v>&lt;tr&gt; &lt;td&gt;6488184&lt;/td&gt;&lt;td&gt;SERVO TROPIKOOL-20 X 1 L&lt;/td&gt;&lt;td&gt;295&lt;/td&gt;&lt;td&gt;172.1915&lt;/td&gt;&lt;td&gt;0&lt;/td&gt;&lt;td&gt;0&lt;/td&gt;&lt;td&gt;0&lt;/td&gt;&lt;td&gt;172.1915&lt;/td&gt;&lt;td&gt;122.8085&lt;/td&gt;&lt;td&gt;122.8085&lt;/td&gt;&lt;td&gt;71.3208840157615&lt;/td&gt;&lt;td&gt;3443.83&lt;/td&gt;&lt;/tr&gt;</v>
      </c>
    </row>
    <row r="109" spans="1:26" x14ac:dyDescent="0.3">
      <c r="A109" s="1" t="s">
        <v>13</v>
      </c>
      <c r="B109">
        <f>'Small Pricelist'!A108</f>
        <v>6489184</v>
      </c>
      <c r="C109" s="1" t="s">
        <v>14</v>
      </c>
      <c r="D109" t="str">
        <f>VLOOKUP(B109,'Small Pricelist'!A:L,2,0)</f>
        <v>SERVO TROPIKOOL READY-20 X 1 L</v>
      </c>
      <c r="E109" s="1" t="s">
        <v>14</v>
      </c>
      <c r="F109">
        <f>VLOOKUP(B109,'Small Pricelist'!A:L,3,0)</f>
        <v>270</v>
      </c>
      <c r="G109" s="1" t="s">
        <v>14</v>
      </c>
      <c r="H109">
        <f>VLOOKUP(B109,'Small Pricelist'!A:L,4,0)</f>
        <v>148.446</v>
      </c>
      <c r="I109" s="1" t="s">
        <v>14</v>
      </c>
      <c r="J109">
        <f>VLOOKUP(B109,'Small Pricelist'!A:L,5,0)</f>
        <v>0</v>
      </c>
      <c r="K109" s="1" t="s">
        <v>14</v>
      </c>
      <c r="L109">
        <f>VLOOKUP(B109,'Small Pricelist'!A:L,6,0)</f>
        <v>0</v>
      </c>
      <c r="M109" s="1" t="s">
        <v>14</v>
      </c>
      <c r="N109">
        <f>VLOOKUP(B109,'Small Pricelist'!A:L,7,0)</f>
        <v>0</v>
      </c>
      <c r="O109" s="1" t="s">
        <v>14</v>
      </c>
      <c r="P109">
        <f>VLOOKUP(B109,'Small Pricelist'!A:L,8,0)</f>
        <v>148.446</v>
      </c>
      <c r="Q109" s="1" t="s">
        <v>14</v>
      </c>
      <c r="R109">
        <f>VLOOKUP(B109,'Small Pricelist'!A:L,9,0)</f>
        <v>121.554</v>
      </c>
      <c r="S109" s="1" t="s">
        <v>14</v>
      </c>
      <c r="T109">
        <f>VLOOKUP(B109,'Small Pricelist'!A:L,10,0)</f>
        <v>121.554</v>
      </c>
      <c r="U109" s="1" t="s">
        <v>14</v>
      </c>
      <c r="V109">
        <f>VLOOKUP(B109,'Small Pricelist'!A:L,11,0)</f>
        <v>81.884321571480541</v>
      </c>
      <c r="W109" s="1" t="s">
        <v>14</v>
      </c>
      <c r="X109">
        <f>VLOOKUP(B109,'Small Pricelist'!A:L,12,0)</f>
        <v>2968.9200000000019</v>
      </c>
      <c r="Y109" s="1" t="s">
        <v>12</v>
      </c>
      <c r="Z109" s="25" t="str">
        <f t="shared" si="1"/>
        <v>&lt;tr&gt; &lt;td&gt;6489184&lt;/td&gt;&lt;td&gt;SERVO TROPIKOOL READY-20 X 1 L&lt;/td&gt;&lt;td&gt;270&lt;/td&gt;&lt;td&gt;148.446&lt;/td&gt;&lt;td&gt;0&lt;/td&gt;&lt;td&gt;0&lt;/td&gt;&lt;td&gt;0&lt;/td&gt;&lt;td&gt;148.446&lt;/td&gt;&lt;td&gt;121.554&lt;/td&gt;&lt;td&gt;121.554&lt;/td&gt;&lt;td&gt;81.8843215714805&lt;/td&gt;&lt;td&gt;2968.92&lt;/td&gt;&lt;/tr&gt;</v>
      </c>
    </row>
    <row r="110" spans="1:26" x14ac:dyDescent="0.3">
      <c r="A110" s="1" t="s">
        <v>13</v>
      </c>
      <c r="B110">
        <f>'Small Pricelist'!A109</f>
        <v>7205222</v>
      </c>
      <c r="C110" s="1" t="s">
        <v>14</v>
      </c>
      <c r="D110" t="str">
        <f>VLOOKUP(B110,'Small Pricelist'!A:L,2,0)</f>
        <v>HYUNDAI SERVO SUPERIOR 0W30-4 X 4 L</v>
      </c>
      <c r="E110" s="1" t="s">
        <v>14</v>
      </c>
      <c r="F110">
        <f>VLOOKUP(B110,'Small Pricelist'!A:L,3,0)</f>
        <v>1960</v>
      </c>
      <c r="G110" s="1" t="s">
        <v>14</v>
      </c>
      <c r="H110">
        <f>VLOOKUP(B110,'Small Pricelist'!A:L,4,0)</f>
        <v>1616.02</v>
      </c>
      <c r="I110" s="1" t="s">
        <v>14</v>
      </c>
      <c r="J110">
        <f>VLOOKUP(B110,'Small Pricelist'!A:L,5,0)</f>
        <v>0</v>
      </c>
      <c r="K110" s="1" t="s">
        <v>14</v>
      </c>
      <c r="L110">
        <f>VLOOKUP(B110,'Small Pricelist'!A:L,6,0)</f>
        <v>0</v>
      </c>
      <c r="M110" s="1" t="s">
        <v>14</v>
      </c>
      <c r="N110">
        <f>VLOOKUP(B110,'Small Pricelist'!A:L,7,0)</f>
        <v>0</v>
      </c>
      <c r="O110" s="1" t="s">
        <v>14</v>
      </c>
      <c r="P110">
        <f>VLOOKUP(B110,'Small Pricelist'!A:L,8,0)</f>
        <v>1616.02</v>
      </c>
      <c r="Q110" s="1" t="s">
        <v>14</v>
      </c>
      <c r="R110">
        <f>VLOOKUP(B110,'Small Pricelist'!A:L,9,0)</f>
        <v>343.98</v>
      </c>
      <c r="S110" s="1" t="s">
        <v>14</v>
      </c>
      <c r="T110">
        <f>VLOOKUP(B110,'Small Pricelist'!A:L,10,0)</f>
        <v>85.995000000000005</v>
      </c>
      <c r="U110" s="1" t="s">
        <v>14</v>
      </c>
      <c r="V110">
        <f>VLOOKUP(B110,'Small Pricelist'!A:L,11,0)</f>
        <v>21.285627653123107</v>
      </c>
      <c r="W110" s="1" t="s">
        <v>14</v>
      </c>
      <c r="X110">
        <f>VLOOKUP(B110,'Small Pricelist'!A:L,12,0)</f>
        <v>6464.0800000000045</v>
      </c>
      <c r="Y110" s="1" t="s">
        <v>12</v>
      </c>
      <c r="Z110" s="25" t="str">
        <f t="shared" si="1"/>
        <v>&lt;tr&gt; &lt;td&gt;7205222&lt;/td&gt;&lt;td&gt;HYUNDAI SERVO SUPERIOR 0W30-4 X 4 L&lt;/td&gt;&lt;td&gt;1960&lt;/td&gt;&lt;td&gt;1616.02&lt;/td&gt;&lt;td&gt;0&lt;/td&gt;&lt;td&gt;0&lt;/td&gt;&lt;td&gt;0&lt;/td&gt;&lt;td&gt;1616.02&lt;/td&gt;&lt;td&gt;343.98&lt;/td&gt;&lt;td&gt;85.995&lt;/td&gt;&lt;td&gt;21.2856276531231&lt;/td&gt;&lt;td&gt;6464.08&lt;/td&gt;&lt;/tr&gt;</v>
      </c>
    </row>
    <row r="111" spans="1:26" x14ac:dyDescent="0.3">
      <c r="A111" s="1" t="s">
        <v>13</v>
      </c>
      <c r="B111">
        <f>'Small Pricelist'!A110</f>
        <v>7209213</v>
      </c>
      <c r="C111" s="1" t="s">
        <v>14</v>
      </c>
      <c r="D111" t="str">
        <f>VLOOKUP(B111,'Small Pricelist'!A:L,2,0)</f>
        <v>HY SERVO SYNTH 0W-30 SP/C3-4 X 3.5 L</v>
      </c>
      <c r="E111" s="1" t="s">
        <v>14</v>
      </c>
      <c r="F111">
        <f>VLOOKUP(B111,'Small Pricelist'!A:L,3,0)</f>
        <v>3885</v>
      </c>
      <c r="G111" s="1" t="s">
        <v>14</v>
      </c>
      <c r="H111">
        <f>VLOOKUP(B111,'Small Pricelist'!A:L,4,0)</f>
        <v>3130.9215000000004</v>
      </c>
      <c r="I111" s="1" t="s">
        <v>14</v>
      </c>
      <c r="J111">
        <f>VLOOKUP(B111,'Small Pricelist'!A:L,5,0)</f>
        <v>0</v>
      </c>
      <c r="K111" s="1" t="s">
        <v>14</v>
      </c>
      <c r="L111">
        <f>VLOOKUP(B111,'Small Pricelist'!A:L,6,0)</f>
        <v>0</v>
      </c>
      <c r="M111" s="1" t="s">
        <v>14</v>
      </c>
      <c r="N111">
        <f>VLOOKUP(B111,'Small Pricelist'!A:L,7,0)</f>
        <v>0</v>
      </c>
      <c r="O111" s="1" t="s">
        <v>14</v>
      </c>
      <c r="P111">
        <f>VLOOKUP(B111,'Small Pricelist'!A:L,8,0)</f>
        <v>3130.9215000000004</v>
      </c>
      <c r="Q111" s="1" t="s">
        <v>14</v>
      </c>
      <c r="R111">
        <f>VLOOKUP(B111,'Small Pricelist'!A:L,9,0)</f>
        <v>754.07849999999962</v>
      </c>
      <c r="S111" s="1" t="s">
        <v>14</v>
      </c>
      <c r="T111">
        <f>VLOOKUP(B111,'Small Pricelist'!A:L,10,0)</f>
        <v>215.45099999999991</v>
      </c>
      <c r="U111" s="1" t="s">
        <v>14</v>
      </c>
      <c r="V111">
        <f>VLOOKUP(B111,'Small Pricelist'!A:L,11,0)</f>
        <v>24.084874053852818</v>
      </c>
      <c r="W111" s="1" t="s">
        <v>14</v>
      </c>
      <c r="X111">
        <f>VLOOKUP(B111,'Small Pricelist'!A:L,12,0)</f>
        <v>12523.686000000005</v>
      </c>
      <c r="Y111" s="1" t="s">
        <v>12</v>
      </c>
      <c r="Z111" s="25" t="str">
        <f t="shared" si="1"/>
        <v>&lt;tr&gt; &lt;td&gt;7209213&lt;/td&gt;&lt;td&gt;HY SERVO SYNTH 0W-30 SP/C3-4 X 3.5 L&lt;/td&gt;&lt;td&gt;3885&lt;/td&gt;&lt;td&gt;3130.9215&lt;/td&gt;&lt;td&gt;0&lt;/td&gt;&lt;td&gt;0&lt;/td&gt;&lt;td&gt;0&lt;/td&gt;&lt;td&gt;3130.9215&lt;/td&gt;&lt;td&gt;754.0785&lt;/td&gt;&lt;td&gt;215.451&lt;/td&gt;&lt;td&gt;24.0848740538528&lt;/td&gt;&lt;td&gt;12523.686&lt;/td&gt;&lt;/tr&gt;</v>
      </c>
    </row>
    <row r="112" spans="1:26" x14ac:dyDescent="0.3">
      <c r="A112" s="1" t="s">
        <v>13</v>
      </c>
      <c r="B112">
        <f>'Small Pricelist'!A111</f>
        <v>7211213</v>
      </c>
      <c r="C112" s="1" t="s">
        <v>14</v>
      </c>
      <c r="D112" t="str">
        <f>VLOOKUP(B112,'Small Pricelist'!A:L,2,0)</f>
        <v>SERVO GREENMILE-4 X 3.5 L</v>
      </c>
      <c r="E112" s="1" t="s">
        <v>14</v>
      </c>
      <c r="F112">
        <f>VLOOKUP(B112,'Small Pricelist'!A:L,3,0)</f>
        <v>1786</v>
      </c>
      <c r="G112" s="1" t="s">
        <v>14</v>
      </c>
      <c r="H112">
        <f>VLOOKUP(B112,'Small Pricelist'!A:L,4,0)</f>
        <v>1445.7670000000001</v>
      </c>
      <c r="I112" s="1" t="s">
        <v>14</v>
      </c>
      <c r="J112">
        <f>VLOOKUP(B112,'Small Pricelist'!A:L,5,0)</f>
        <v>55</v>
      </c>
      <c r="K112" s="1" t="s">
        <v>14</v>
      </c>
      <c r="L112">
        <f>VLOOKUP(B112,'Small Pricelist'!A:L,6,0)</f>
        <v>0</v>
      </c>
      <c r="M112" s="1" t="s">
        <v>14</v>
      </c>
      <c r="N112">
        <f>VLOOKUP(B112,'Small Pricelist'!A:L,7,0)</f>
        <v>0</v>
      </c>
      <c r="O112" s="1" t="s">
        <v>14</v>
      </c>
      <c r="P112">
        <f>VLOOKUP(B112,'Small Pricelist'!A:L,8,0)</f>
        <v>1218.617</v>
      </c>
      <c r="Q112" s="1" t="s">
        <v>14</v>
      </c>
      <c r="R112">
        <f>VLOOKUP(B112,'Small Pricelist'!A:L,9,0)</f>
        <v>567.38300000000004</v>
      </c>
      <c r="S112" s="1" t="s">
        <v>14</v>
      </c>
      <c r="T112">
        <f>VLOOKUP(B112,'Small Pricelist'!A:L,10,0)</f>
        <v>162.10942857142857</v>
      </c>
      <c r="U112" s="1" t="s">
        <v>14</v>
      </c>
      <c r="V112">
        <f>VLOOKUP(B112,'Small Pricelist'!A:L,11,0)</f>
        <v>46.559583527884485</v>
      </c>
      <c r="W112" s="1" t="s">
        <v>14</v>
      </c>
      <c r="X112">
        <f>VLOOKUP(B112,'Small Pricelist'!A:L,12,0)</f>
        <v>4874.4680000000008</v>
      </c>
      <c r="Y112" s="1" t="s">
        <v>12</v>
      </c>
      <c r="Z112" s="25" t="str">
        <f t="shared" si="1"/>
        <v>&lt;tr&gt; &lt;td&gt;7211213&lt;/td&gt;&lt;td&gt;SERVO GREENMILE-4 X 3.5 L&lt;/td&gt;&lt;td&gt;1786&lt;/td&gt;&lt;td&gt;1445.767&lt;/td&gt;&lt;td&gt;55&lt;/td&gt;&lt;td&gt;0&lt;/td&gt;&lt;td&gt;0&lt;/td&gt;&lt;td&gt;1218.617&lt;/td&gt;&lt;td&gt;567.383&lt;/td&gt;&lt;td&gt;162.109428571429&lt;/td&gt;&lt;td&gt;46.5595835278845&lt;/td&gt;&lt;td&gt;4874.468&lt;/td&gt;&lt;/tr&gt;</v>
      </c>
    </row>
    <row r="113" spans="1:26" x14ac:dyDescent="0.3">
      <c r="A113" s="1" t="s">
        <v>13</v>
      </c>
      <c r="B113">
        <f>'Small Pricelist'!A112</f>
        <v>7226184</v>
      </c>
      <c r="C113" s="1" t="s">
        <v>14</v>
      </c>
      <c r="D113" t="str">
        <f>VLOOKUP(B113,'Small Pricelist'!A:L,2,0)</f>
        <v xml:space="preserve">SERVO MKM TRACTOR OIL-20 X 1 L </v>
      </c>
      <c r="E113" s="1" t="s">
        <v>14</v>
      </c>
      <c r="F113">
        <f>VLOOKUP(B113,'Small Pricelist'!A:L,3,0)</f>
        <v>369</v>
      </c>
      <c r="G113" s="1" t="s">
        <v>14</v>
      </c>
      <c r="H113">
        <f>VLOOKUP(B113,'Small Pricelist'!A:L,4,0)</f>
        <v>301.65750000000003</v>
      </c>
      <c r="I113" s="1" t="s">
        <v>14</v>
      </c>
      <c r="J113">
        <f>VLOOKUP(B113,'Small Pricelist'!A:L,5,0)</f>
        <v>41</v>
      </c>
      <c r="K113" s="1" t="s">
        <v>14</v>
      </c>
      <c r="L113">
        <f>VLOOKUP(B113,'Small Pricelist'!A:L,6,0)</f>
        <v>0</v>
      </c>
      <c r="M113" s="1" t="s">
        <v>14</v>
      </c>
      <c r="N113">
        <f>VLOOKUP(B113,'Small Pricelist'!A:L,7,0)</f>
        <v>0</v>
      </c>
      <c r="O113" s="1" t="s">
        <v>14</v>
      </c>
      <c r="P113">
        <f>VLOOKUP(B113,'Small Pricelist'!A:L,8,0)</f>
        <v>253.27750000000006</v>
      </c>
      <c r="Q113" s="1" t="s">
        <v>14</v>
      </c>
      <c r="R113">
        <f>VLOOKUP(B113,'Small Pricelist'!A:L,9,0)</f>
        <v>115.72249999999994</v>
      </c>
      <c r="S113" s="1" t="s">
        <v>14</v>
      </c>
      <c r="T113">
        <f>VLOOKUP(B113,'Small Pricelist'!A:L,10,0)</f>
        <v>115.72249999999994</v>
      </c>
      <c r="U113" s="1" t="s">
        <v>14</v>
      </c>
      <c r="V113">
        <f>VLOOKUP(B113,'Small Pricelist'!A:L,11,0)</f>
        <v>45.690004046944523</v>
      </c>
      <c r="W113" s="1" t="s">
        <v>14</v>
      </c>
      <c r="X113">
        <f>VLOOKUP(B113,'Small Pricelist'!A:L,12,0)</f>
        <v>5065.5500000000047</v>
      </c>
      <c r="Y113" s="1" t="s">
        <v>12</v>
      </c>
      <c r="Z113" s="25" t="str">
        <f t="shared" si="1"/>
        <v>&lt;tr&gt; &lt;td&gt;7226184&lt;/td&gt;&lt;td&gt;SERVO MKM TRACTOR OIL-20 X 1 L &lt;/td&gt;&lt;td&gt;369&lt;/td&gt;&lt;td&gt;301.6575&lt;/td&gt;&lt;td&gt;41&lt;/td&gt;&lt;td&gt;0&lt;/td&gt;&lt;td&gt;0&lt;/td&gt;&lt;td&gt;253.2775&lt;/td&gt;&lt;td&gt;115.7225&lt;/td&gt;&lt;td&gt;115.7225&lt;/td&gt;&lt;td&gt;45.6900040469445&lt;/td&gt;&lt;td&gt;5065.55&lt;/td&gt;&lt;/tr&gt;</v>
      </c>
    </row>
    <row r="114" spans="1:26" x14ac:dyDescent="0.3">
      <c r="A114" s="1" t="s">
        <v>13</v>
      </c>
      <c r="B114">
        <f>'Small Pricelist'!A113</f>
        <v>7226251</v>
      </c>
      <c r="C114" s="1" t="s">
        <v>14</v>
      </c>
      <c r="D114" t="str">
        <f>VLOOKUP(B114,'Small Pricelist'!A:L,2,0)</f>
        <v>SERVO MKM TRACTOR OIL-7.5 L</v>
      </c>
      <c r="E114" s="1" t="s">
        <v>14</v>
      </c>
      <c r="F114">
        <f>VLOOKUP(B114,'Small Pricelist'!A:L,3,0)</f>
        <v>2629</v>
      </c>
      <c r="G114" s="1" t="s">
        <v>14</v>
      </c>
      <c r="H114">
        <f>VLOOKUP(B114,'Small Pricelist'!A:L,4,0)</f>
        <v>2169.7136999999998</v>
      </c>
      <c r="I114" s="1" t="s">
        <v>14</v>
      </c>
      <c r="J114">
        <f>VLOOKUP(B114,'Small Pricelist'!A:L,5,0)</f>
        <v>28</v>
      </c>
      <c r="K114" s="1" t="s">
        <v>14</v>
      </c>
      <c r="L114">
        <f>VLOOKUP(B114,'Small Pricelist'!A:L,6,0)</f>
        <v>0</v>
      </c>
      <c r="M114" s="1" t="s">
        <v>14</v>
      </c>
      <c r="N114">
        <f>VLOOKUP(B114,'Small Pricelist'!A:L,7,0)</f>
        <v>0</v>
      </c>
      <c r="O114" s="1" t="s">
        <v>14</v>
      </c>
      <c r="P114">
        <f>VLOOKUP(B114,'Small Pricelist'!A:L,8,0)</f>
        <v>1921.9136999999998</v>
      </c>
      <c r="Q114" s="1" t="s">
        <v>14</v>
      </c>
      <c r="R114">
        <f>VLOOKUP(B114,'Small Pricelist'!A:L,9,0)</f>
        <v>707.08630000000016</v>
      </c>
      <c r="S114" s="1" t="s">
        <v>14</v>
      </c>
      <c r="T114">
        <f>VLOOKUP(B114,'Small Pricelist'!A:L,10,0)</f>
        <v>94.27817333333337</v>
      </c>
      <c r="U114" s="1" t="s">
        <v>14</v>
      </c>
      <c r="V114">
        <f>VLOOKUP(B114,'Small Pricelist'!A:L,11,0)</f>
        <v>36.790741436517166</v>
      </c>
      <c r="W114" s="1" t="s">
        <v>14</v>
      </c>
      <c r="X114">
        <f>VLOOKUP(B114,'Small Pricelist'!A:L,12,0)</f>
        <v>1921.9137000000012</v>
      </c>
      <c r="Y114" s="1" t="s">
        <v>12</v>
      </c>
      <c r="Z114" s="25" t="str">
        <f t="shared" si="1"/>
        <v>&lt;tr&gt; &lt;td&gt;7226251&lt;/td&gt;&lt;td&gt;SERVO MKM TRACTOR OIL-7.5 L&lt;/td&gt;&lt;td&gt;2629&lt;/td&gt;&lt;td&gt;2169.7137&lt;/td&gt;&lt;td&gt;28&lt;/td&gt;&lt;td&gt;0&lt;/td&gt;&lt;td&gt;0&lt;/td&gt;&lt;td&gt;1921.9137&lt;/td&gt;&lt;td&gt;707.0863&lt;/td&gt;&lt;td&gt;94.2781733333334&lt;/td&gt;&lt;td&gt;36.7907414365172&lt;/td&gt;&lt;td&gt;1921.9137&lt;/td&gt;&lt;/tr&gt;</v>
      </c>
    </row>
    <row r="115" spans="1:26" x14ac:dyDescent="0.3">
      <c r="A115" s="1" t="s">
        <v>13</v>
      </c>
      <c r="B115">
        <f>'Small Pricelist'!A114</f>
        <v>7227251</v>
      </c>
      <c r="C115" s="1" t="s">
        <v>14</v>
      </c>
      <c r="D115" t="str">
        <f>VLOOKUP(B115,'Small Pricelist'!A:L,2,0)</f>
        <v>SERVO TRACTOR GREEN-7.5 L</v>
      </c>
      <c r="E115" s="1" t="s">
        <v>14</v>
      </c>
      <c r="F115">
        <f>VLOOKUP(B115,'Small Pricelist'!A:L,3,0)</f>
        <v>3411</v>
      </c>
      <c r="G115" s="1" t="s">
        <v>14</v>
      </c>
      <c r="H115">
        <f>VLOOKUP(B115,'Small Pricelist'!A:L,4,0)</f>
        <v>2633.9741999999997</v>
      </c>
      <c r="I115" s="1" t="s">
        <v>14</v>
      </c>
      <c r="J115">
        <f>VLOOKUP(B115,'Small Pricelist'!A:L,5,0)</f>
        <v>39</v>
      </c>
      <c r="K115" s="1" t="s">
        <v>14</v>
      </c>
      <c r="L115">
        <f>VLOOKUP(B115,'Small Pricelist'!A:L,6,0)</f>
        <v>0</v>
      </c>
      <c r="M115" s="1" t="s">
        <v>14</v>
      </c>
      <c r="N115">
        <f>VLOOKUP(B115,'Small Pricelist'!A:L,7,0)</f>
        <v>0</v>
      </c>
      <c r="O115" s="1" t="s">
        <v>14</v>
      </c>
      <c r="P115">
        <f>VLOOKUP(B115,'Small Pricelist'!A:L,8,0)</f>
        <v>2288.8241999999996</v>
      </c>
      <c r="Q115" s="1" t="s">
        <v>14</v>
      </c>
      <c r="R115">
        <f>VLOOKUP(B115,'Small Pricelist'!A:L,9,0)</f>
        <v>1122.1758000000004</v>
      </c>
      <c r="S115" s="1" t="s">
        <v>14</v>
      </c>
      <c r="T115">
        <f>VLOOKUP(B115,'Small Pricelist'!A:L,10,0)</f>
        <v>149.62344000000007</v>
      </c>
      <c r="U115" s="1" t="s">
        <v>14</v>
      </c>
      <c r="V115">
        <f>VLOOKUP(B115,'Small Pricelist'!A:L,11,0)</f>
        <v>49.028483707923073</v>
      </c>
      <c r="W115" s="1" t="s">
        <v>14</v>
      </c>
      <c r="X115">
        <f>VLOOKUP(B115,'Small Pricelist'!A:L,12,0)</f>
        <v>2288.8242000000009</v>
      </c>
      <c r="Y115" s="1" t="s">
        <v>12</v>
      </c>
      <c r="Z115" s="25" t="str">
        <f t="shared" si="1"/>
        <v>&lt;tr&gt; &lt;td&gt;7227251&lt;/td&gt;&lt;td&gt;SERVO TRACTOR GREEN-7.5 L&lt;/td&gt;&lt;td&gt;3411&lt;/td&gt;&lt;td&gt;2633.9742&lt;/td&gt;&lt;td&gt;39&lt;/td&gt;&lt;td&gt;0&lt;/td&gt;&lt;td&gt;0&lt;/td&gt;&lt;td&gt;2288.8242&lt;/td&gt;&lt;td&gt;1122.1758&lt;/td&gt;&lt;td&gt;149.62344&lt;/td&gt;&lt;td&gt;49.0284837079231&lt;/td&gt;&lt;td&gt;2288.8242&lt;/td&gt;&lt;/tr&gt;</v>
      </c>
    </row>
    <row r="116" spans="1:26" x14ac:dyDescent="0.3">
      <c r="A116" s="1" t="s">
        <v>13</v>
      </c>
      <c r="B116">
        <f>'Small Pricelist'!A115</f>
        <v>7227252</v>
      </c>
      <c r="C116" s="1" t="s">
        <v>14</v>
      </c>
      <c r="D116" t="str">
        <f>VLOOKUP(B116,'Small Pricelist'!A:L,2,0)</f>
        <v>SERVO TRACTOR GREEN-8.5 L</v>
      </c>
      <c r="E116" s="1" t="s">
        <v>14</v>
      </c>
      <c r="F116">
        <f>VLOOKUP(B116,'Small Pricelist'!A:L,3,0)</f>
        <v>3851</v>
      </c>
      <c r="G116" s="1" t="s">
        <v>14</v>
      </c>
      <c r="H116">
        <f>VLOOKUP(B116,'Small Pricelist'!A:L,4,0)</f>
        <v>2976.0528000000004</v>
      </c>
      <c r="I116" s="1" t="s">
        <v>14</v>
      </c>
      <c r="J116">
        <f>VLOOKUP(B116,'Small Pricelist'!A:L,5,0)</f>
        <v>55</v>
      </c>
      <c r="K116" s="1" t="s">
        <v>14</v>
      </c>
      <c r="L116">
        <f>VLOOKUP(B116,'Small Pricelist'!A:L,6,0)</f>
        <v>0</v>
      </c>
      <c r="M116" s="1" t="s">
        <v>14</v>
      </c>
      <c r="N116">
        <f>VLOOKUP(B116,'Small Pricelist'!A:L,7,0)</f>
        <v>0</v>
      </c>
      <c r="O116" s="1" t="s">
        <v>14</v>
      </c>
      <c r="P116">
        <f>VLOOKUP(B116,'Small Pricelist'!A:L,8,0)</f>
        <v>2424.4028000000003</v>
      </c>
      <c r="Q116" s="1" t="s">
        <v>14</v>
      </c>
      <c r="R116">
        <f>VLOOKUP(B116,'Small Pricelist'!A:L,9,0)</f>
        <v>1426.5971999999997</v>
      </c>
      <c r="S116" s="1" t="s">
        <v>14</v>
      </c>
      <c r="T116">
        <f>VLOOKUP(B116,'Small Pricelist'!A:L,10,0)</f>
        <v>167.83496470588233</v>
      </c>
      <c r="U116" s="1" t="s">
        <v>14</v>
      </c>
      <c r="V116">
        <f>VLOOKUP(B116,'Small Pricelist'!A:L,11,0)</f>
        <v>58.843241725343645</v>
      </c>
      <c r="W116" s="1" t="s">
        <v>14</v>
      </c>
      <c r="X116">
        <f>VLOOKUP(B116,'Small Pricelist'!A:L,12,0)</f>
        <v>2424.4028000000003</v>
      </c>
      <c r="Y116" s="1" t="s">
        <v>12</v>
      </c>
      <c r="Z116" s="25" t="str">
        <f t="shared" si="1"/>
        <v>&lt;tr&gt; &lt;td&gt;7227252&lt;/td&gt;&lt;td&gt;SERVO TRACTOR GREEN-8.5 L&lt;/td&gt;&lt;td&gt;3851&lt;/td&gt;&lt;td&gt;2976.0528&lt;/td&gt;&lt;td&gt;55&lt;/td&gt;&lt;td&gt;0&lt;/td&gt;&lt;td&gt;0&lt;/td&gt;&lt;td&gt;2424.4028&lt;/td&gt;&lt;td&gt;1426.5972&lt;/td&gt;&lt;td&gt;167.834964705882&lt;/td&gt;&lt;td&gt;58.8432417253436&lt;/td&gt;&lt;td&gt;2424.4028&lt;/td&gt;&lt;/tr&gt;</v>
      </c>
    </row>
    <row r="117" spans="1:26" x14ac:dyDescent="0.3">
      <c r="A117" s="1" t="s">
        <v>13</v>
      </c>
      <c r="B117">
        <f>'Small Pricelist'!A116</f>
        <v>7231256</v>
      </c>
      <c r="C117" s="1" t="s">
        <v>14</v>
      </c>
      <c r="D117" t="str">
        <f>VLOOKUP(B117,'Small Pricelist'!A:L,2,0)</f>
        <v>SERVO RAFTAAR-15 L</v>
      </c>
      <c r="E117" s="1" t="s">
        <v>14</v>
      </c>
      <c r="F117">
        <f>VLOOKUP(B117,'Small Pricelist'!A:L,3,0)</f>
        <v>6300</v>
      </c>
      <c r="G117" s="1" t="s">
        <v>14</v>
      </c>
      <c r="H117">
        <f>VLOOKUP(B117,'Small Pricelist'!A:L,4,0)</f>
        <v>5211.99</v>
      </c>
      <c r="I117" s="1" t="s">
        <v>14</v>
      </c>
      <c r="J117">
        <f>VLOOKUP(B117,'Small Pricelist'!A:L,5,0)</f>
        <v>45</v>
      </c>
      <c r="K117" s="1" t="s">
        <v>14</v>
      </c>
      <c r="L117">
        <f>VLOOKUP(B117,'Small Pricelist'!A:L,6,0)</f>
        <v>0</v>
      </c>
      <c r="M117" s="1" t="s">
        <v>14</v>
      </c>
      <c r="N117">
        <f>VLOOKUP(B117,'Small Pricelist'!A:L,7,0)</f>
        <v>0</v>
      </c>
      <c r="O117" s="1" t="s">
        <v>14</v>
      </c>
      <c r="P117">
        <f>VLOOKUP(B117,'Small Pricelist'!A:L,8,0)</f>
        <v>4415.4900000000007</v>
      </c>
      <c r="Q117" s="1" t="s">
        <v>14</v>
      </c>
      <c r="R117">
        <f>VLOOKUP(B117,'Small Pricelist'!A:L,9,0)</f>
        <v>1884.5099999999993</v>
      </c>
      <c r="S117" s="1" t="s">
        <v>14</v>
      </c>
      <c r="T117">
        <f>VLOOKUP(B117,'Small Pricelist'!A:L,10,0)</f>
        <v>125.63399999999996</v>
      </c>
      <c r="U117" s="1" t="s">
        <v>14</v>
      </c>
      <c r="V117">
        <f>VLOOKUP(B117,'Small Pricelist'!A:L,11,0)</f>
        <v>42.679521412119584</v>
      </c>
      <c r="W117" s="1" t="s">
        <v>14</v>
      </c>
      <c r="X117">
        <f>VLOOKUP(B117,'Small Pricelist'!A:L,12,0)</f>
        <v>4415.4900000000034</v>
      </c>
      <c r="Y117" s="1" t="s">
        <v>12</v>
      </c>
      <c r="Z117" s="25" t="str">
        <f t="shared" si="1"/>
        <v>&lt;tr&gt; &lt;td&gt;7231256&lt;/td&gt;&lt;td&gt;SERVO RAFTAAR-15 L&lt;/td&gt;&lt;td&gt;6300&lt;/td&gt;&lt;td&gt;5211.99&lt;/td&gt;&lt;td&gt;45&lt;/td&gt;&lt;td&gt;0&lt;/td&gt;&lt;td&gt;0&lt;/td&gt;&lt;td&gt;4415.49&lt;/td&gt;&lt;td&gt;1884.51&lt;/td&gt;&lt;td&gt;125.634&lt;/td&gt;&lt;td&gt;42.6795214121196&lt;/td&gt;&lt;td&gt;4415.49&lt;/td&gt;&lt;/tr&gt;</v>
      </c>
    </row>
    <row r="118" spans="1:26" x14ac:dyDescent="0.3">
      <c r="A118" s="1" t="s">
        <v>13</v>
      </c>
      <c r="B118">
        <f>'Small Pricelist'!A117</f>
        <v>7232184</v>
      </c>
      <c r="C118" s="1" t="s">
        <v>14</v>
      </c>
      <c r="D118" t="str">
        <f>VLOOKUP(B118,'Small Pricelist'!A:L,2,0)</f>
        <v>HYUNDAI SERVO COOLANT 50-20 X 1 L</v>
      </c>
      <c r="E118" s="1" t="s">
        <v>14</v>
      </c>
      <c r="F118">
        <f>VLOOKUP(B118,'Small Pricelist'!A:L,3,0)</f>
        <v>301</v>
      </c>
      <c r="G118" s="1" t="s">
        <v>14</v>
      </c>
      <c r="H118">
        <f>VLOOKUP(B118,'Small Pricelist'!A:L,4,0)</f>
        <v>256.99379999999996</v>
      </c>
      <c r="I118" s="1" t="s">
        <v>14</v>
      </c>
      <c r="J118">
        <f>VLOOKUP(B118,'Small Pricelist'!A:L,5,0)</f>
        <v>0</v>
      </c>
      <c r="K118" s="1" t="s">
        <v>14</v>
      </c>
      <c r="L118">
        <f>VLOOKUP(B118,'Small Pricelist'!A:L,6,0)</f>
        <v>0</v>
      </c>
      <c r="M118" s="1" t="s">
        <v>14</v>
      </c>
      <c r="N118">
        <f>VLOOKUP(B118,'Small Pricelist'!A:L,7,0)</f>
        <v>0</v>
      </c>
      <c r="O118" s="1" t="s">
        <v>14</v>
      </c>
      <c r="P118">
        <f>VLOOKUP(B118,'Small Pricelist'!A:L,8,0)</f>
        <v>256.99379999999996</v>
      </c>
      <c r="Q118" s="1" t="s">
        <v>14</v>
      </c>
      <c r="R118">
        <f>VLOOKUP(B118,'Small Pricelist'!A:L,9,0)</f>
        <v>44.006200000000035</v>
      </c>
      <c r="S118" s="1" t="s">
        <v>14</v>
      </c>
      <c r="T118">
        <f>VLOOKUP(B118,'Small Pricelist'!A:L,10,0)</f>
        <v>44.006200000000035</v>
      </c>
      <c r="U118" s="1" t="s">
        <v>14</v>
      </c>
      <c r="V118">
        <f>VLOOKUP(B118,'Small Pricelist'!A:L,11,0)</f>
        <v>17.123448114312502</v>
      </c>
      <c r="W118" s="1" t="s">
        <v>14</v>
      </c>
      <c r="X118">
        <f>VLOOKUP(B118,'Small Pricelist'!A:L,12,0)</f>
        <v>5139.8760000000029</v>
      </c>
      <c r="Y118" s="1" t="s">
        <v>12</v>
      </c>
      <c r="Z118" s="25" t="str">
        <f t="shared" si="1"/>
        <v>&lt;tr&gt; &lt;td&gt;7232184&lt;/td&gt;&lt;td&gt;HYUNDAI SERVO COOLANT 50-20 X 1 L&lt;/td&gt;&lt;td&gt;301&lt;/td&gt;&lt;td&gt;256.9938&lt;/td&gt;&lt;td&gt;0&lt;/td&gt;&lt;td&gt;0&lt;/td&gt;&lt;td&gt;0&lt;/td&gt;&lt;td&gt;256.9938&lt;/td&gt;&lt;td&gt;44.0062&lt;/td&gt;&lt;td&gt;44.0062&lt;/td&gt;&lt;td&gt;17.1234481143125&lt;/td&gt;&lt;td&gt;5139.876&lt;/td&gt;&lt;/tr&gt;</v>
      </c>
    </row>
    <row r="119" spans="1:26" x14ac:dyDescent="0.3">
      <c r="A119" s="1" t="s">
        <v>13</v>
      </c>
      <c r="B119">
        <f>'Small Pricelist'!A118</f>
        <v>7264222</v>
      </c>
      <c r="C119" s="1" t="s">
        <v>14</v>
      </c>
      <c r="D119" t="str">
        <f>VLOOKUP(B119,'Small Pricelist'!A:L,2,0)</f>
        <v>SERVO MG HECTOR PETROL EO-4 X 4 L</v>
      </c>
      <c r="E119" s="1" t="s">
        <v>14</v>
      </c>
      <c r="F119">
        <f>VLOOKUP(B119,'Small Pricelist'!A:L,3,0)</f>
        <v>1760</v>
      </c>
      <c r="G119" s="1" t="s">
        <v>14</v>
      </c>
      <c r="H119">
        <f>VLOOKUP(B119,'Small Pricelist'!A:L,4,0)</f>
        <v>1485.9680000000001</v>
      </c>
      <c r="I119" s="1" t="s">
        <v>14</v>
      </c>
      <c r="J119">
        <f>VLOOKUP(B119,'Small Pricelist'!A:L,5,0)</f>
        <v>0</v>
      </c>
      <c r="K119" s="1" t="s">
        <v>14</v>
      </c>
      <c r="L119">
        <f>VLOOKUP(B119,'Small Pricelist'!A:L,6,0)</f>
        <v>0</v>
      </c>
      <c r="M119" s="1" t="s">
        <v>14</v>
      </c>
      <c r="N119">
        <f>VLOOKUP(B119,'Small Pricelist'!A:L,7,0)</f>
        <v>0</v>
      </c>
      <c r="O119" s="1" t="s">
        <v>14</v>
      </c>
      <c r="P119">
        <f>VLOOKUP(B119,'Small Pricelist'!A:L,8,0)</f>
        <v>1485.9680000000001</v>
      </c>
      <c r="Q119" s="1" t="s">
        <v>14</v>
      </c>
      <c r="R119">
        <f>VLOOKUP(B119,'Small Pricelist'!A:L,9,0)</f>
        <v>274.03199999999993</v>
      </c>
      <c r="S119" s="1" t="s">
        <v>14</v>
      </c>
      <c r="T119">
        <f>VLOOKUP(B119,'Small Pricelist'!A:L,10,0)</f>
        <v>68.507999999999981</v>
      </c>
      <c r="U119" s="1" t="s">
        <v>14</v>
      </c>
      <c r="V119">
        <f>VLOOKUP(B119,'Small Pricelist'!A:L,11,0)</f>
        <v>18.441312329740608</v>
      </c>
      <c r="W119" s="1" t="s">
        <v>14</v>
      </c>
      <c r="X119">
        <f>VLOOKUP(B119,'Small Pricelist'!A:L,12,0)</f>
        <v>5943.8720000000039</v>
      </c>
      <c r="Y119" s="1" t="s">
        <v>12</v>
      </c>
      <c r="Z119" s="25" t="str">
        <f t="shared" si="1"/>
        <v>&lt;tr&gt; &lt;td&gt;7264222&lt;/td&gt;&lt;td&gt;SERVO MG HECTOR PETROL EO-4 X 4 L&lt;/td&gt;&lt;td&gt;1760&lt;/td&gt;&lt;td&gt;1485.968&lt;/td&gt;&lt;td&gt;0&lt;/td&gt;&lt;td&gt;0&lt;/td&gt;&lt;td&gt;0&lt;/td&gt;&lt;td&gt;1485.968&lt;/td&gt;&lt;td&gt;274.032&lt;/td&gt;&lt;td&gt;68.508&lt;/td&gt;&lt;td&gt;18.4413123297406&lt;/td&gt;&lt;td&gt;5943.872&lt;/td&gt;&lt;/tr&gt;</v>
      </c>
    </row>
    <row r="120" spans="1:26" x14ac:dyDescent="0.3">
      <c r="A120" s="1" t="s">
        <v>13</v>
      </c>
      <c r="B120">
        <f>'Small Pricelist'!A119</f>
        <v>7265234</v>
      </c>
      <c r="C120" s="1" t="s">
        <v>14</v>
      </c>
      <c r="D120" t="str">
        <f>VLOOKUP(B120,'Small Pricelist'!A:L,2,0)</f>
        <v>SERVO MG GLOSTER DIESEL EO-4 X 5 L LUBE</v>
      </c>
      <c r="E120" s="1" t="s">
        <v>14</v>
      </c>
      <c r="F120">
        <f>VLOOKUP(B120,'Small Pricelist'!A:L,3,0)</f>
        <v>3215</v>
      </c>
      <c r="G120" s="1" t="s">
        <v>14</v>
      </c>
      <c r="H120">
        <f>VLOOKUP(B120,'Small Pricelist'!A:L,4,0)</f>
        <v>2692.884</v>
      </c>
      <c r="I120" s="1" t="s">
        <v>14</v>
      </c>
      <c r="J120">
        <f>VLOOKUP(B120,'Small Pricelist'!A:L,5,0)</f>
        <v>0</v>
      </c>
      <c r="K120" s="1" t="s">
        <v>14</v>
      </c>
      <c r="L120">
        <f>VLOOKUP(B120,'Small Pricelist'!A:L,6,0)</f>
        <v>0</v>
      </c>
      <c r="M120" s="1" t="s">
        <v>14</v>
      </c>
      <c r="N120">
        <f>VLOOKUP(B120,'Small Pricelist'!A:L,7,0)</f>
        <v>0</v>
      </c>
      <c r="O120" s="1" t="s">
        <v>14</v>
      </c>
      <c r="P120">
        <f>VLOOKUP(B120,'Small Pricelist'!A:L,8,0)</f>
        <v>2692.884</v>
      </c>
      <c r="Q120" s="1" t="s">
        <v>14</v>
      </c>
      <c r="R120">
        <f>VLOOKUP(B120,'Small Pricelist'!A:L,9,0)</f>
        <v>522.11599999999999</v>
      </c>
      <c r="S120" s="1" t="s">
        <v>14</v>
      </c>
      <c r="T120">
        <f>VLOOKUP(B120,'Small Pricelist'!A:L,10,0)</f>
        <v>104.42319999999995</v>
      </c>
      <c r="U120" s="1" t="s">
        <v>14</v>
      </c>
      <c r="V120">
        <f>VLOOKUP(B120,'Small Pricelist'!A:L,11,0)</f>
        <v>19.388729703915949</v>
      </c>
      <c r="W120" s="1" t="s">
        <v>14</v>
      </c>
      <c r="X120">
        <f>VLOOKUP(B120,'Small Pricelist'!A:L,12,0)</f>
        <v>10771.536000000007</v>
      </c>
      <c r="Y120" s="1" t="s">
        <v>12</v>
      </c>
      <c r="Z120" s="25" t="str">
        <f t="shared" si="1"/>
        <v>&lt;tr&gt; &lt;td&gt;7265234&lt;/td&gt;&lt;td&gt;SERVO MG GLOSTER DIESEL EO-4 X 5 L LUBE&lt;/td&gt;&lt;td&gt;3215&lt;/td&gt;&lt;td&gt;2692.884&lt;/td&gt;&lt;td&gt;0&lt;/td&gt;&lt;td&gt;0&lt;/td&gt;&lt;td&gt;0&lt;/td&gt;&lt;td&gt;2692.884&lt;/td&gt;&lt;td&gt;522.116&lt;/td&gt;&lt;td&gt;104.4232&lt;/td&gt;&lt;td&gt;19.3887297039159&lt;/td&gt;&lt;td&gt;10771.536&lt;/td&gt;&lt;/tr&gt;</v>
      </c>
    </row>
    <row r="121" spans="1:26" x14ac:dyDescent="0.3">
      <c r="A121" s="1" t="s">
        <v>13</v>
      </c>
      <c r="B121">
        <f>'Small Pricelist'!A120</f>
        <v>7267234</v>
      </c>
      <c r="C121" s="1" t="s">
        <v>14</v>
      </c>
      <c r="D121" t="str">
        <f>VLOOKUP(B121,'Small Pricelist'!A:L,2,0)</f>
        <v>SERVO MG HECTOR DIESEL ENGINE OIL-4 X5 L</v>
      </c>
      <c r="E121" s="1" t="s">
        <v>14</v>
      </c>
      <c r="F121">
        <f>VLOOKUP(B121,'Small Pricelist'!A:L,3,0)</f>
        <v>5025</v>
      </c>
      <c r="G121" s="1" t="s">
        <v>14</v>
      </c>
      <c r="H121">
        <f>VLOOKUP(B121,'Small Pricelist'!A:L,4,0)</f>
        <v>4130.0474999999997</v>
      </c>
      <c r="I121" s="1" t="s">
        <v>14</v>
      </c>
      <c r="J121">
        <f>VLOOKUP(B121,'Small Pricelist'!A:L,5,0)</f>
        <v>0</v>
      </c>
      <c r="K121" s="1" t="s">
        <v>14</v>
      </c>
      <c r="L121">
        <f>VLOOKUP(B121,'Small Pricelist'!A:L,6,0)</f>
        <v>0</v>
      </c>
      <c r="M121" s="1" t="s">
        <v>14</v>
      </c>
      <c r="N121">
        <f>VLOOKUP(B121,'Small Pricelist'!A:L,7,0)</f>
        <v>0</v>
      </c>
      <c r="O121" s="1" t="s">
        <v>14</v>
      </c>
      <c r="P121">
        <f>VLOOKUP(B121,'Small Pricelist'!A:L,8,0)</f>
        <v>4130.0474999999997</v>
      </c>
      <c r="Q121" s="1" t="s">
        <v>14</v>
      </c>
      <c r="R121">
        <f>VLOOKUP(B121,'Small Pricelist'!A:L,9,0)</f>
        <v>894.95250000000033</v>
      </c>
      <c r="S121" s="1" t="s">
        <v>14</v>
      </c>
      <c r="T121">
        <f>VLOOKUP(B121,'Small Pricelist'!A:L,10,0)</f>
        <v>178.99050000000011</v>
      </c>
      <c r="U121" s="1" t="s">
        <v>14</v>
      </c>
      <c r="V121">
        <f>VLOOKUP(B121,'Small Pricelist'!A:L,11,0)</f>
        <v>21.669302834894765</v>
      </c>
      <c r="W121" s="1" t="s">
        <v>14</v>
      </c>
      <c r="X121">
        <f>VLOOKUP(B121,'Small Pricelist'!A:L,12,0)</f>
        <v>16520.19000000001</v>
      </c>
      <c r="Y121" s="1" t="s">
        <v>12</v>
      </c>
      <c r="Z121" s="25" t="str">
        <f t="shared" si="1"/>
        <v>&lt;tr&gt; &lt;td&gt;7267234&lt;/td&gt;&lt;td&gt;SERVO MG HECTOR DIESEL ENGINE OIL-4 X5 L&lt;/td&gt;&lt;td&gt;5025&lt;/td&gt;&lt;td&gt;4130.0475&lt;/td&gt;&lt;td&gt;0&lt;/td&gt;&lt;td&gt;0&lt;/td&gt;&lt;td&gt;0&lt;/td&gt;&lt;td&gt;4130.0475&lt;/td&gt;&lt;td&gt;894.9525&lt;/td&gt;&lt;td&gt;178.9905&lt;/td&gt;&lt;td&gt;21.6693028348948&lt;/td&gt;&lt;td&gt;16520.19&lt;/td&gt;&lt;/tr&gt;</v>
      </c>
    </row>
    <row r="122" spans="1:26" x14ac:dyDescent="0.3">
      <c r="A122" s="1" t="s">
        <v>13</v>
      </c>
      <c r="B122">
        <f>'Small Pricelist'!A121</f>
        <v>7271111</v>
      </c>
      <c r="C122" s="1" t="s">
        <v>14</v>
      </c>
      <c r="D122" t="str">
        <f>VLOOKUP(B122,'Small Pricelist'!A:L,2,0)</f>
        <v>SERVO FUTURA NXT 0W-16-4X3.5 L PROMO</v>
      </c>
      <c r="E122" s="1" t="s">
        <v>14</v>
      </c>
      <c r="F122">
        <f>VLOOKUP(B122,'Small Pricelist'!A:L,3,0)</f>
        <v>2678</v>
      </c>
      <c r="G122" s="1" t="s">
        <v>14</v>
      </c>
      <c r="H122">
        <f>VLOOKUP(B122,'Small Pricelist'!A:L,4,0)</f>
        <v>2037.4223999999999</v>
      </c>
      <c r="I122" s="1" t="s">
        <v>14</v>
      </c>
      <c r="J122">
        <f>VLOOKUP(B122,'Small Pricelist'!A:L,5,0)</f>
        <v>79</v>
      </c>
      <c r="K122" s="1" t="s">
        <v>14</v>
      </c>
      <c r="L122">
        <f>VLOOKUP(B122,'Small Pricelist'!A:L,6,0)</f>
        <v>0</v>
      </c>
      <c r="M122" s="1" t="s">
        <v>14</v>
      </c>
      <c r="N122">
        <f>VLOOKUP(B122,'Small Pricelist'!A:L,7,0)</f>
        <v>0</v>
      </c>
      <c r="O122" s="1" t="s">
        <v>14</v>
      </c>
      <c r="P122">
        <f>VLOOKUP(B122,'Small Pricelist'!A:L,8,0)</f>
        <v>1711.1523999999999</v>
      </c>
      <c r="Q122" s="1" t="s">
        <v>14</v>
      </c>
      <c r="R122">
        <f>VLOOKUP(B122,'Small Pricelist'!A:L,9,0)</f>
        <v>966.84760000000006</v>
      </c>
      <c r="S122" s="1" t="s">
        <v>14</v>
      </c>
      <c r="T122">
        <f>VLOOKUP(B122,'Small Pricelist'!A:L,10,0)</f>
        <v>276.2421714285714</v>
      </c>
      <c r="U122" s="1" t="s">
        <v>14</v>
      </c>
      <c r="V122">
        <f>VLOOKUP(B122,'Small Pricelist'!A:L,11,0)</f>
        <v>56.502717116254516</v>
      </c>
      <c r="W122" s="1" t="s">
        <v>14</v>
      </c>
      <c r="X122">
        <f>VLOOKUP(B122,'Small Pricelist'!A:L,12,0)</f>
        <v>6844.6095999999998</v>
      </c>
      <c r="Y122" s="1" t="s">
        <v>12</v>
      </c>
      <c r="Z122" s="25" t="str">
        <f t="shared" si="1"/>
        <v>&lt;tr&gt; &lt;td&gt;7271111&lt;/td&gt;&lt;td&gt;SERVO FUTURA NXT 0W-16-4X3.5 L PROMO&lt;/td&gt;&lt;td&gt;2678&lt;/td&gt;&lt;td&gt;2037.4224&lt;/td&gt;&lt;td&gt;79&lt;/td&gt;&lt;td&gt;0&lt;/td&gt;&lt;td&gt;0&lt;/td&gt;&lt;td&gt;1711.1524&lt;/td&gt;&lt;td&gt;966.8476&lt;/td&gt;&lt;td&gt;276.242171428571&lt;/td&gt;&lt;td&gt;56.5027171162545&lt;/td&gt;&lt;td&gt;6844.6096&lt;/td&gt;&lt;/tr&gt;</v>
      </c>
    </row>
    <row r="123" spans="1:26" x14ac:dyDescent="0.3">
      <c r="A123" s="1" t="s">
        <v>13</v>
      </c>
      <c r="B123">
        <f>'Small Pricelist'!A122</f>
        <v>7271213</v>
      </c>
      <c r="C123" s="1" t="s">
        <v>14</v>
      </c>
      <c r="D123" t="str">
        <f>VLOOKUP(B123,'Small Pricelist'!A:L,2,0)</f>
        <v>SERVO FUTURA NXT 0W-16-4 X 3.5 L</v>
      </c>
      <c r="E123" s="1" t="s">
        <v>14</v>
      </c>
      <c r="F123">
        <f>VLOOKUP(B123,'Small Pricelist'!A:L,3,0)</f>
        <v>2678</v>
      </c>
      <c r="G123" s="1" t="s">
        <v>14</v>
      </c>
      <c r="H123">
        <f>VLOOKUP(B123,'Small Pricelist'!A:L,4,0)</f>
        <v>2037.4223999999999</v>
      </c>
      <c r="I123" s="1" t="s">
        <v>14</v>
      </c>
      <c r="J123">
        <f>VLOOKUP(B123,'Small Pricelist'!A:L,5,0)</f>
        <v>89</v>
      </c>
      <c r="K123" s="1" t="s">
        <v>14</v>
      </c>
      <c r="L123">
        <f>VLOOKUP(B123,'Small Pricelist'!A:L,6,0)</f>
        <v>0</v>
      </c>
      <c r="M123" s="1" t="s">
        <v>14</v>
      </c>
      <c r="N123">
        <f>VLOOKUP(B123,'Small Pricelist'!A:L,7,0)</f>
        <v>0</v>
      </c>
      <c r="O123" s="1" t="s">
        <v>14</v>
      </c>
      <c r="P123">
        <f>VLOOKUP(B123,'Small Pricelist'!A:L,8,0)</f>
        <v>1669.8523999999998</v>
      </c>
      <c r="Q123" s="1" t="s">
        <v>14</v>
      </c>
      <c r="R123">
        <f>VLOOKUP(B123,'Small Pricelist'!A:L,9,0)</f>
        <v>1008.1476000000002</v>
      </c>
      <c r="S123" s="1" t="s">
        <v>14</v>
      </c>
      <c r="T123">
        <f>VLOOKUP(B123,'Small Pricelist'!A:L,10,0)</f>
        <v>288.04217142857146</v>
      </c>
      <c r="U123" s="1" t="s">
        <v>14</v>
      </c>
      <c r="V123">
        <f>VLOOKUP(B123,'Small Pricelist'!A:L,11,0)</f>
        <v>60.373455761718844</v>
      </c>
      <c r="W123" s="1" t="s">
        <v>14</v>
      </c>
      <c r="X123">
        <f>VLOOKUP(B123,'Small Pricelist'!A:L,12,0)</f>
        <v>6679.4096000000009</v>
      </c>
      <c r="Y123" s="1" t="s">
        <v>12</v>
      </c>
      <c r="Z123" s="25" t="str">
        <f t="shared" si="1"/>
        <v>&lt;tr&gt; &lt;td&gt;7271213&lt;/td&gt;&lt;td&gt;SERVO FUTURA NXT 0W-16-4 X 3.5 L&lt;/td&gt;&lt;td&gt;2678&lt;/td&gt;&lt;td&gt;2037.4224&lt;/td&gt;&lt;td&gt;89&lt;/td&gt;&lt;td&gt;0&lt;/td&gt;&lt;td&gt;0&lt;/td&gt;&lt;td&gt;1669.8524&lt;/td&gt;&lt;td&gt;1008.1476&lt;/td&gt;&lt;td&gt;288.042171428571&lt;/td&gt;&lt;td&gt;60.3734557617188&lt;/td&gt;&lt;td&gt;6679.4096&lt;/td&gt;&lt;/tr&gt;</v>
      </c>
    </row>
    <row r="124" spans="1:26" x14ac:dyDescent="0.3">
      <c r="A124" s="1" t="s">
        <v>13</v>
      </c>
      <c r="B124">
        <f>'Small Pricelist'!A123</f>
        <v>7275111</v>
      </c>
      <c r="C124" s="1" t="s">
        <v>14</v>
      </c>
      <c r="D124" t="str">
        <f>VLOOKUP(B124,'Small Pricelist'!A:L,2,0)</f>
        <v>SERVO BLACKBIRD X-4X3.5 L PROMO</v>
      </c>
      <c r="E124" s="1" t="s">
        <v>14</v>
      </c>
      <c r="F124">
        <f>VLOOKUP(B124,'Small Pricelist'!A:L,3,0)</f>
        <v>4707</v>
      </c>
      <c r="G124" s="1" t="s">
        <v>14</v>
      </c>
      <c r="H124">
        <f>VLOOKUP(B124,'Small Pricelist'!A:L,4,0)</f>
        <v>3096.2646000000004</v>
      </c>
      <c r="I124" s="1" t="s">
        <v>14</v>
      </c>
      <c r="J124">
        <f>VLOOKUP(B124,'Small Pricelist'!A:L,5,0)</f>
        <v>96</v>
      </c>
      <c r="K124" s="1" t="s">
        <v>14</v>
      </c>
      <c r="L124">
        <f>VLOOKUP(B124,'Small Pricelist'!A:L,6,0)</f>
        <v>0</v>
      </c>
      <c r="M124" s="1" t="s">
        <v>14</v>
      </c>
      <c r="N124">
        <f>VLOOKUP(B124,'Small Pricelist'!A:L,7,0)</f>
        <v>0</v>
      </c>
      <c r="O124" s="1" t="s">
        <v>14</v>
      </c>
      <c r="P124">
        <f>VLOOKUP(B124,'Small Pricelist'!A:L,8,0)</f>
        <v>2699.7846000000004</v>
      </c>
      <c r="Q124" s="1" t="s">
        <v>14</v>
      </c>
      <c r="R124">
        <f>VLOOKUP(B124,'Small Pricelist'!A:L,9,0)</f>
        <v>2007.2153999999996</v>
      </c>
      <c r="S124" s="1" t="s">
        <v>14</v>
      </c>
      <c r="T124">
        <f>VLOOKUP(B124,'Small Pricelist'!A:L,10,0)</f>
        <v>573.49011428571418</v>
      </c>
      <c r="U124" s="1" t="s">
        <v>14</v>
      </c>
      <c r="V124">
        <f>VLOOKUP(B124,'Small Pricelist'!A:L,11,0)</f>
        <v>74.347242368891173</v>
      </c>
      <c r="W124" s="1" t="s">
        <v>14</v>
      </c>
      <c r="X124">
        <f>VLOOKUP(B124,'Small Pricelist'!A:L,12,0)</f>
        <v>10799.138400000002</v>
      </c>
      <c r="Y124" s="1" t="s">
        <v>12</v>
      </c>
      <c r="Z124" s="25" t="str">
        <f t="shared" si="1"/>
        <v>&lt;tr&gt; &lt;td&gt;7275111&lt;/td&gt;&lt;td&gt;SERVO BLACKBIRD X-4X3.5 L PROMO&lt;/td&gt;&lt;td&gt;4707&lt;/td&gt;&lt;td&gt;3096.2646&lt;/td&gt;&lt;td&gt;96&lt;/td&gt;&lt;td&gt;0&lt;/td&gt;&lt;td&gt;0&lt;/td&gt;&lt;td&gt;2699.7846&lt;/td&gt;&lt;td&gt;2007.2154&lt;/td&gt;&lt;td&gt;573.490114285714&lt;/td&gt;&lt;td&gt;74.3472423688912&lt;/td&gt;&lt;td&gt;10799.1384&lt;/td&gt;&lt;/tr&gt;</v>
      </c>
    </row>
    <row r="125" spans="1:26" x14ac:dyDescent="0.3">
      <c r="A125" s="1" t="s">
        <v>13</v>
      </c>
      <c r="B125">
        <f>'Small Pricelist'!A124</f>
        <v>7275185</v>
      </c>
      <c r="C125" s="1" t="s">
        <v>14</v>
      </c>
      <c r="D125" t="str">
        <f>VLOOKUP(B125,'Small Pricelist'!A:L,2,0)</f>
        <v>SERVO BLACKBIRD X-10 X 1 L HDPE</v>
      </c>
      <c r="E125" s="1" t="s">
        <v>14</v>
      </c>
      <c r="F125">
        <f>VLOOKUP(B125,'Small Pricelist'!A:L,3,0)</f>
        <v>1345</v>
      </c>
      <c r="G125" s="1" t="s">
        <v>14</v>
      </c>
      <c r="H125">
        <f>VLOOKUP(B125,'Small Pricelist'!A:L,4,0)</f>
        <v>884.87549999999999</v>
      </c>
      <c r="I125" s="1" t="s">
        <v>14</v>
      </c>
      <c r="J125">
        <f>VLOOKUP(B125,'Small Pricelist'!A:L,5,0)</f>
        <v>96</v>
      </c>
      <c r="K125" s="1" t="s">
        <v>14</v>
      </c>
      <c r="L125">
        <f>VLOOKUP(B125,'Small Pricelist'!A:L,6,0)</f>
        <v>0</v>
      </c>
      <c r="M125" s="1" t="s">
        <v>14</v>
      </c>
      <c r="N125">
        <f>VLOOKUP(B125,'Small Pricelist'!A:L,7,0)</f>
        <v>0</v>
      </c>
      <c r="O125" s="1" t="s">
        <v>14</v>
      </c>
      <c r="P125">
        <f>VLOOKUP(B125,'Small Pricelist'!A:L,8,0)</f>
        <v>771.59550000000002</v>
      </c>
      <c r="Q125" s="1" t="s">
        <v>14</v>
      </c>
      <c r="R125">
        <f>VLOOKUP(B125,'Small Pricelist'!A:L,9,0)</f>
        <v>573.40449999999998</v>
      </c>
      <c r="S125" s="1" t="s">
        <v>14</v>
      </c>
      <c r="T125">
        <f>VLOOKUP(B125,'Small Pricelist'!A:L,10,0)</f>
        <v>573.40449999999998</v>
      </c>
      <c r="U125" s="1" t="s">
        <v>14</v>
      </c>
      <c r="V125">
        <f>VLOOKUP(B125,'Small Pricelist'!A:L,11,0)</f>
        <v>74.314132210465203</v>
      </c>
      <c r="W125" s="1" t="s">
        <v>14</v>
      </c>
      <c r="X125">
        <f>VLOOKUP(B125,'Small Pricelist'!A:L,12,0)</f>
        <v>7715.9550000000045</v>
      </c>
      <c r="Y125" s="1" t="s">
        <v>12</v>
      </c>
      <c r="Z125" s="25" t="str">
        <f t="shared" si="1"/>
        <v>&lt;tr&gt; &lt;td&gt;7275185&lt;/td&gt;&lt;td&gt;SERVO BLACKBIRD X-10 X 1 L HDPE&lt;/td&gt;&lt;td&gt;1345&lt;/td&gt;&lt;td&gt;884.8755&lt;/td&gt;&lt;td&gt;96&lt;/td&gt;&lt;td&gt;0&lt;/td&gt;&lt;td&gt;0&lt;/td&gt;&lt;td&gt;771.5955&lt;/td&gt;&lt;td&gt;573.4045&lt;/td&gt;&lt;td&gt;573.4045&lt;/td&gt;&lt;td&gt;74.3141322104652&lt;/td&gt;&lt;td&gt;7715.955&lt;/td&gt;&lt;/tr&gt;</v>
      </c>
    </row>
    <row r="126" spans="1:26" x14ac:dyDescent="0.3">
      <c r="A126" s="1" t="s">
        <v>13</v>
      </c>
      <c r="B126">
        <f>'Small Pricelist'!A125</f>
        <v>7275220</v>
      </c>
      <c r="C126" s="1" t="s">
        <v>14</v>
      </c>
      <c r="D126" t="str">
        <f>VLOOKUP(B126,'Small Pricelist'!A:L,2,0)</f>
        <v>SERVO BLACKBIRD X-4 x 4 L PROMO</v>
      </c>
      <c r="E126" s="1" t="s">
        <v>14</v>
      </c>
      <c r="F126">
        <f>VLOOKUP(B126,'Small Pricelist'!A:L,3,0)</f>
        <v>5379</v>
      </c>
      <c r="G126" s="1" t="s">
        <v>14</v>
      </c>
      <c r="H126">
        <f>VLOOKUP(B126,'Small Pricelist'!A:L,4,0)</f>
        <v>3538.8441000000003</v>
      </c>
      <c r="I126" s="1" t="s">
        <v>14</v>
      </c>
      <c r="J126">
        <f>VLOOKUP(B126,'Small Pricelist'!A:L,5,0)</f>
        <v>96</v>
      </c>
      <c r="K126" s="1" t="s">
        <v>14</v>
      </c>
      <c r="L126">
        <f>VLOOKUP(B126,'Small Pricelist'!A:L,6,0)</f>
        <v>0</v>
      </c>
      <c r="M126" s="1" t="s">
        <v>14</v>
      </c>
      <c r="N126">
        <f>VLOOKUP(B126,'Small Pricelist'!A:L,7,0)</f>
        <v>0</v>
      </c>
      <c r="O126" s="1" t="s">
        <v>14</v>
      </c>
      <c r="P126">
        <f>VLOOKUP(B126,'Small Pricelist'!A:L,8,0)</f>
        <v>3085.7241000000004</v>
      </c>
      <c r="Q126" s="1" t="s">
        <v>14</v>
      </c>
      <c r="R126">
        <f>VLOOKUP(B126,'Small Pricelist'!A:L,9,0)</f>
        <v>2293.2758999999996</v>
      </c>
      <c r="S126" s="1" t="s">
        <v>14</v>
      </c>
      <c r="T126">
        <f>VLOOKUP(B126,'Small Pricelist'!A:L,10,0)</f>
        <v>573.31897499999991</v>
      </c>
      <c r="U126" s="1" t="s">
        <v>14</v>
      </c>
      <c r="V126">
        <f>VLOOKUP(B126,'Small Pricelist'!A:L,11,0)</f>
        <v>74.31889001353035</v>
      </c>
      <c r="W126" s="1" t="s">
        <v>14</v>
      </c>
      <c r="X126">
        <f>VLOOKUP(B126,'Small Pricelist'!A:L,12,0)</f>
        <v>12342.896400000001</v>
      </c>
      <c r="Y126" s="1" t="s">
        <v>12</v>
      </c>
      <c r="Z126" s="25" t="str">
        <f t="shared" si="1"/>
        <v>&lt;tr&gt; &lt;td&gt;7275220&lt;/td&gt;&lt;td&gt;SERVO BLACKBIRD X-4 x 4 L PROMO&lt;/td&gt;&lt;td&gt;5379&lt;/td&gt;&lt;td&gt;3538.8441&lt;/td&gt;&lt;td&gt;96&lt;/td&gt;&lt;td&gt;0&lt;/td&gt;&lt;td&gt;0&lt;/td&gt;&lt;td&gt;3085.7241&lt;/td&gt;&lt;td&gt;2293.2759&lt;/td&gt;&lt;td&gt;573.318975&lt;/td&gt;&lt;td&gt;74.3188900135303&lt;/td&gt;&lt;td&gt;12342.8964&lt;/td&gt;&lt;/tr&gt;</v>
      </c>
    </row>
    <row r="127" spans="1:26" x14ac:dyDescent="0.3">
      <c r="A127" s="1" t="s">
        <v>13</v>
      </c>
      <c r="B127">
        <f>'Small Pricelist'!A126</f>
        <v>7330242</v>
      </c>
      <c r="C127" s="1" t="s">
        <v>14</v>
      </c>
      <c r="D127" t="str">
        <f>VLOOKUP(B127,'Small Pricelist'!A:L,2,0)</f>
        <v>IOC CLEARBLUE-10 L</v>
      </c>
      <c r="E127" s="1" t="s">
        <v>14</v>
      </c>
      <c r="F127">
        <f>VLOOKUP(B127,'Small Pricelist'!A:L,3,0)</f>
        <v>1040</v>
      </c>
      <c r="G127" s="1" t="s">
        <v>14</v>
      </c>
      <c r="H127">
        <f>VLOOKUP(B127,'Small Pricelist'!A:L,4,0)</f>
        <v>904.90400000000011</v>
      </c>
      <c r="I127" s="1" t="s">
        <v>14</v>
      </c>
      <c r="J127">
        <f>VLOOKUP(B127,'Small Pricelist'!A:L,5,0)</f>
        <v>0</v>
      </c>
      <c r="K127" s="1" t="s">
        <v>14</v>
      </c>
      <c r="L127">
        <f>VLOOKUP(B127,'Small Pricelist'!A:L,6,0)</f>
        <v>0</v>
      </c>
      <c r="M127" s="1" t="s">
        <v>14</v>
      </c>
      <c r="N127">
        <f>VLOOKUP(B127,'Small Pricelist'!A:L,7,0)</f>
        <v>0</v>
      </c>
      <c r="O127" s="1" t="s">
        <v>14</v>
      </c>
      <c r="P127">
        <f>VLOOKUP(B127,'Small Pricelist'!A:L,8,0)</f>
        <v>904.90400000000011</v>
      </c>
      <c r="Q127" s="1" t="s">
        <v>14</v>
      </c>
      <c r="R127">
        <f>VLOOKUP(B127,'Small Pricelist'!A:L,9,0)</f>
        <v>135.09599999999989</v>
      </c>
      <c r="S127" s="1" t="s">
        <v>14</v>
      </c>
      <c r="T127">
        <f>VLOOKUP(B127,'Small Pricelist'!A:L,10,0)</f>
        <v>13.509599999999992</v>
      </c>
      <c r="U127" s="1" t="s">
        <v>14</v>
      </c>
      <c r="V127">
        <f>VLOOKUP(B127,'Small Pricelist'!A:L,11,0)</f>
        <v>14.929318469141464</v>
      </c>
      <c r="W127" s="1" t="s">
        <v>14</v>
      </c>
      <c r="X127">
        <f>VLOOKUP(B127,'Small Pricelist'!A:L,12,0)</f>
        <v>904.90400000000056</v>
      </c>
      <c r="Y127" s="1" t="s">
        <v>12</v>
      </c>
      <c r="Z127" s="25" t="str">
        <f t="shared" si="1"/>
        <v>&lt;tr&gt; &lt;td&gt;7330242&lt;/td&gt;&lt;td&gt;IOC CLEARBLUE-10 L&lt;/td&gt;&lt;td&gt;1040&lt;/td&gt;&lt;td&gt;904.904&lt;/td&gt;&lt;td&gt;0&lt;/td&gt;&lt;td&gt;0&lt;/td&gt;&lt;td&gt;0&lt;/td&gt;&lt;td&gt;904.904&lt;/td&gt;&lt;td&gt;135.096&lt;/td&gt;&lt;td&gt;13.5096&lt;/td&gt;&lt;td&gt;14.9293184691415&lt;/td&gt;&lt;td&gt;904.904000000001&lt;/td&gt;&lt;/tr&gt;</v>
      </c>
    </row>
    <row r="128" spans="1:26" x14ac:dyDescent="0.3">
      <c r="A128" s="1" t="s">
        <v>13</v>
      </c>
      <c r="B128">
        <f>'Small Pricelist'!A127</f>
        <v>7330265</v>
      </c>
      <c r="C128" s="1" t="s">
        <v>14</v>
      </c>
      <c r="D128" t="str">
        <f>VLOOKUP(B128,'Small Pricelist'!A:L,2,0)</f>
        <v>IOC CLEARBLUE-20 L</v>
      </c>
      <c r="E128" s="1" t="s">
        <v>14</v>
      </c>
      <c r="F128">
        <f>VLOOKUP(B128,'Small Pricelist'!A:L,3,0)</f>
        <v>1980</v>
      </c>
      <c r="G128" s="1" t="s">
        <v>14</v>
      </c>
      <c r="H128">
        <f>VLOOKUP(B128,'Small Pricelist'!A:L,4,0)</f>
        <v>1727.55</v>
      </c>
      <c r="I128" s="1" t="s">
        <v>14</v>
      </c>
      <c r="J128">
        <f>VLOOKUP(B128,'Small Pricelist'!A:L,5,0)</f>
        <v>0</v>
      </c>
      <c r="K128" s="1" t="s">
        <v>14</v>
      </c>
      <c r="L128">
        <f>VLOOKUP(B128,'Small Pricelist'!A:L,6,0)</f>
        <v>0</v>
      </c>
      <c r="M128" s="1" t="s">
        <v>14</v>
      </c>
      <c r="N128">
        <f>VLOOKUP(B128,'Small Pricelist'!A:L,7,0)</f>
        <v>0</v>
      </c>
      <c r="O128" s="1" t="s">
        <v>14</v>
      </c>
      <c r="P128">
        <f>VLOOKUP(B128,'Small Pricelist'!A:L,8,0)</f>
        <v>1727.55</v>
      </c>
      <c r="Q128" s="1" t="s">
        <v>14</v>
      </c>
      <c r="R128">
        <f>VLOOKUP(B128,'Small Pricelist'!A:L,9,0)</f>
        <v>252.45000000000005</v>
      </c>
      <c r="S128" s="1" t="s">
        <v>14</v>
      </c>
      <c r="T128">
        <f>VLOOKUP(B128,'Small Pricelist'!A:L,10,0)</f>
        <v>12.622500000000002</v>
      </c>
      <c r="U128" s="1" t="s">
        <v>14</v>
      </c>
      <c r="V128">
        <f>VLOOKUP(B128,'Small Pricelist'!A:L,11,0)</f>
        <v>14.613180515759316</v>
      </c>
      <c r="W128" s="1" t="s">
        <v>14</v>
      </c>
      <c r="X128">
        <f>VLOOKUP(B128,'Small Pricelist'!A:L,12,0)</f>
        <v>1727.5500000000011</v>
      </c>
      <c r="Y128" s="1" t="s">
        <v>12</v>
      </c>
      <c r="Z128" s="25" t="str">
        <f t="shared" si="1"/>
        <v>&lt;tr&gt; &lt;td&gt;7330265&lt;/td&gt;&lt;td&gt;IOC CLEARBLUE-20 L&lt;/td&gt;&lt;td&gt;1980&lt;/td&gt;&lt;td&gt;1727.55&lt;/td&gt;&lt;td&gt;0&lt;/td&gt;&lt;td&gt;0&lt;/td&gt;&lt;td&gt;0&lt;/td&gt;&lt;td&gt;1727.55&lt;/td&gt;&lt;td&gt;252.45&lt;/td&gt;&lt;td&gt;12.6225&lt;/td&gt;&lt;td&gt;14.6131805157593&lt;/td&gt;&lt;td&gt;1727.55&lt;/td&gt;&lt;/tr&gt;</v>
      </c>
    </row>
    <row r="129" spans="1:26" x14ac:dyDescent="0.3">
      <c r="A129" s="1" t="s">
        <v>13</v>
      </c>
      <c r="B129">
        <f>'Small Pricelist'!A128</f>
        <v>7364184</v>
      </c>
      <c r="C129" s="1" t="s">
        <v>14</v>
      </c>
      <c r="D129" t="str">
        <f>VLOOKUP(B129,'Small Pricelist'!A:L,2,0)</f>
        <v>SERVO ECO CF-4 15W-40-20 X 1 L</v>
      </c>
      <c r="E129" s="1" t="s">
        <v>14</v>
      </c>
      <c r="F129">
        <f>VLOOKUP(B129,'Small Pricelist'!A:L,3,0)</f>
        <v>295</v>
      </c>
      <c r="G129" s="1" t="s">
        <v>14</v>
      </c>
      <c r="H129">
        <f>VLOOKUP(B129,'Small Pricelist'!A:L,4,0)</f>
        <v>219.6275</v>
      </c>
      <c r="I129" s="1" t="s">
        <v>14</v>
      </c>
      <c r="J129">
        <f>VLOOKUP(B129,'Small Pricelist'!A:L,5,0)</f>
        <v>0</v>
      </c>
      <c r="K129" s="1" t="s">
        <v>14</v>
      </c>
      <c r="L129">
        <f>VLOOKUP(B129,'Small Pricelist'!A:L,6,0)</f>
        <v>0</v>
      </c>
      <c r="M129" s="1" t="s">
        <v>14</v>
      </c>
      <c r="N129">
        <f>VLOOKUP(B129,'Small Pricelist'!A:L,7,0)</f>
        <v>0</v>
      </c>
      <c r="O129" s="1" t="s">
        <v>14</v>
      </c>
      <c r="P129">
        <f>VLOOKUP(B129,'Small Pricelist'!A:L,8,0)</f>
        <v>219.6275</v>
      </c>
      <c r="Q129" s="1" t="s">
        <v>14</v>
      </c>
      <c r="R129">
        <f>VLOOKUP(B129,'Small Pricelist'!A:L,9,0)</f>
        <v>75.372500000000002</v>
      </c>
      <c r="S129" s="1" t="s">
        <v>14</v>
      </c>
      <c r="T129">
        <f>VLOOKUP(B129,'Small Pricelist'!A:L,10,0)</f>
        <v>75.372500000000002</v>
      </c>
      <c r="U129" s="1" t="s">
        <v>14</v>
      </c>
      <c r="V129">
        <f>VLOOKUP(B129,'Small Pricelist'!A:L,11,0)</f>
        <v>34.318334452652785</v>
      </c>
      <c r="W129" s="1" t="s">
        <v>14</v>
      </c>
      <c r="X129">
        <f>VLOOKUP(B129,'Small Pricelist'!A:L,12,0)</f>
        <v>4392.5500000000029</v>
      </c>
      <c r="Y129" s="1" t="s">
        <v>12</v>
      </c>
      <c r="Z129" s="25" t="str">
        <f t="shared" si="1"/>
        <v>&lt;tr&gt; &lt;td&gt;7364184&lt;/td&gt;&lt;td&gt;SERVO ECO CF-4 15W-40-20 X 1 L&lt;/td&gt;&lt;td&gt;295&lt;/td&gt;&lt;td&gt;219.6275&lt;/td&gt;&lt;td&gt;0&lt;/td&gt;&lt;td&gt;0&lt;/td&gt;&lt;td&gt;0&lt;/td&gt;&lt;td&gt;219.6275&lt;/td&gt;&lt;td&gt;75.3725&lt;/td&gt;&lt;td&gt;75.3725&lt;/td&gt;&lt;td&gt;34.3183344526528&lt;/td&gt;&lt;td&gt;4392.55&lt;/td&gt;&lt;/tr&gt;</v>
      </c>
    </row>
    <row r="130" spans="1:26" x14ac:dyDescent="0.3">
      <c r="A130" s="1" t="s">
        <v>13</v>
      </c>
      <c r="B130">
        <f>'Small Pricelist'!A129</f>
        <v>7364203</v>
      </c>
      <c r="C130" s="1" t="s">
        <v>14</v>
      </c>
      <c r="D130" t="str">
        <f>VLOOKUP(B130,'Small Pricelist'!A:L,2,0)</f>
        <v>SERVO ECO CF-4 15W-40-4 X 3 L</v>
      </c>
      <c r="E130" s="1" t="s">
        <v>14</v>
      </c>
      <c r="F130">
        <f>VLOOKUP(B130,'Small Pricelist'!A:L,3,0)</f>
        <v>945</v>
      </c>
      <c r="G130" s="1" t="s">
        <v>14</v>
      </c>
      <c r="H130">
        <f>VLOOKUP(B130,'Small Pricelist'!A:L,4,0)</f>
        <v>658.94850000000008</v>
      </c>
      <c r="I130" s="1" t="s">
        <v>14</v>
      </c>
      <c r="J130">
        <f>VLOOKUP(B130,'Small Pricelist'!A:L,5,0)</f>
        <v>0</v>
      </c>
      <c r="K130" s="1" t="s">
        <v>14</v>
      </c>
      <c r="L130">
        <f>VLOOKUP(B130,'Small Pricelist'!A:L,6,0)</f>
        <v>0</v>
      </c>
      <c r="M130" s="1" t="s">
        <v>14</v>
      </c>
      <c r="N130">
        <f>VLOOKUP(B130,'Small Pricelist'!A:L,7,0)</f>
        <v>0</v>
      </c>
      <c r="O130" s="1" t="s">
        <v>14</v>
      </c>
      <c r="P130">
        <f>VLOOKUP(B130,'Small Pricelist'!A:L,8,0)</f>
        <v>658.94850000000008</v>
      </c>
      <c r="Q130" s="1" t="s">
        <v>14</v>
      </c>
      <c r="R130">
        <f>VLOOKUP(B130,'Small Pricelist'!A:L,9,0)</f>
        <v>286.05149999999992</v>
      </c>
      <c r="S130" s="1" t="s">
        <v>14</v>
      </c>
      <c r="T130">
        <f>VLOOKUP(B130,'Small Pricelist'!A:L,10,0)</f>
        <v>95.350499999999982</v>
      </c>
      <c r="U130" s="1" t="s">
        <v>14</v>
      </c>
      <c r="V130">
        <f>VLOOKUP(B130,'Small Pricelist'!A:L,11,0)</f>
        <v>43.410296859314478</v>
      </c>
      <c r="W130" s="1" t="s">
        <v>14</v>
      </c>
      <c r="X130">
        <f>VLOOKUP(B130,'Small Pricelist'!A:L,12,0)</f>
        <v>2635.7940000000017</v>
      </c>
      <c r="Y130" s="1" t="s">
        <v>12</v>
      </c>
      <c r="Z130" s="25" t="str">
        <f t="shared" si="1"/>
        <v>&lt;tr&gt; &lt;td&gt;7364203&lt;/td&gt;&lt;td&gt;SERVO ECO CF-4 15W-40-4 X 3 L&lt;/td&gt;&lt;td&gt;945&lt;/td&gt;&lt;td&gt;658.9485&lt;/td&gt;&lt;td&gt;0&lt;/td&gt;&lt;td&gt;0&lt;/td&gt;&lt;td&gt;0&lt;/td&gt;&lt;td&gt;658.9485&lt;/td&gt;&lt;td&gt;286.0515&lt;/td&gt;&lt;td&gt;95.3505&lt;/td&gt;&lt;td&gt;43.4102968593145&lt;/td&gt;&lt;td&gt;2635.794&lt;/td&gt;&lt;/tr&gt;</v>
      </c>
    </row>
    <row r="131" spans="1:26" x14ac:dyDescent="0.3">
      <c r="A131" s="1" t="s">
        <v>13</v>
      </c>
      <c r="B131">
        <f>'Small Pricelist'!A130</f>
        <v>7364234</v>
      </c>
      <c r="C131" s="1" t="s">
        <v>14</v>
      </c>
      <c r="D131" t="str">
        <f>VLOOKUP(B131,'Small Pricelist'!A:L,2,0)</f>
        <v>SERVO ECO CF-4 15W-40-4 X 5 L</v>
      </c>
      <c r="E131" s="1" t="s">
        <v>14</v>
      </c>
      <c r="F131">
        <f>VLOOKUP(B131,'Small Pricelist'!A:L,3,0)</f>
        <v>1575</v>
      </c>
      <c r="G131" s="1" t="s">
        <v>14</v>
      </c>
      <c r="H131">
        <f>VLOOKUP(B131,'Small Pricelist'!A:L,4,0)</f>
        <v>1098.2474999999999</v>
      </c>
      <c r="I131" s="1" t="s">
        <v>14</v>
      </c>
      <c r="J131">
        <f>VLOOKUP(B131,'Small Pricelist'!A:L,5,0)</f>
        <v>0</v>
      </c>
      <c r="K131" s="1" t="s">
        <v>14</v>
      </c>
      <c r="L131">
        <f>VLOOKUP(B131,'Small Pricelist'!A:L,6,0)</f>
        <v>0</v>
      </c>
      <c r="M131" s="1" t="s">
        <v>14</v>
      </c>
      <c r="N131">
        <f>VLOOKUP(B131,'Small Pricelist'!A:L,7,0)</f>
        <v>0</v>
      </c>
      <c r="O131" s="1" t="s">
        <v>14</v>
      </c>
      <c r="P131">
        <f>VLOOKUP(B131,'Small Pricelist'!A:L,8,0)</f>
        <v>1098.2474999999999</v>
      </c>
      <c r="Q131" s="1" t="s">
        <v>14</v>
      </c>
      <c r="R131">
        <f>VLOOKUP(B131,'Small Pricelist'!A:L,9,0)</f>
        <v>476.75250000000005</v>
      </c>
      <c r="S131" s="1" t="s">
        <v>14</v>
      </c>
      <c r="T131">
        <f>VLOOKUP(B131,'Small Pricelist'!A:L,10,0)</f>
        <v>95.350500000000011</v>
      </c>
      <c r="U131" s="1" t="s">
        <v>14</v>
      </c>
      <c r="V131">
        <f>VLOOKUP(B131,'Small Pricelist'!A:L,11,0)</f>
        <v>43.410296859314506</v>
      </c>
      <c r="W131" s="1" t="s">
        <v>14</v>
      </c>
      <c r="X131">
        <f>VLOOKUP(B131,'Small Pricelist'!A:L,12,0)</f>
        <v>4392.9900000000025</v>
      </c>
      <c r="Y131" s="1" t="s">
        <v>12</v>
      </c>
      <c r="Z131" s="25" t="str">
        <f t="shared" ref="Z131:Z194" si="2">CONCATENATE(A131,B131,C131,D131,E131,F131,G131,H131,I131,J131,K131,L131,M131,N131,O131,P131,Q131,R131,S131,T131,U131,V131,W131,X131,Y131)</f>
        <v>&lt;tr&gt; &lt;td&gt;7364234&lt;/td&gt;&lt;td&gt;SERVO ECO CF-4 15W-40-4 X 5 L&lt;/td&gt;&lt;td&gt;1575&lt;/td&gt;&lt;td&gt;1098.2475&lt;/td&gt;&lt;td&gt;0&lt;/td&gt;&lt;td&gt;0&lt;/td&gt;&lt;td&gt;0&lt;/td&gt;&lt;td&gt;1098.2475&lt;/td&gt;&lt;td&gt;476.7525&lt;/td&gt;&lt;td&gt;95.3505&lt;/td&gt;&lt;td&gt;43.4102968593145&lt;/td&gt;&lt;td&gt;4392.99&lt;/td&gt;&lt;/tr&gt;</v>
      </c>
    </row>
    <row r="132" spans="1:26" x14ac:dyDescent="0.3">
      <c r="A132" s="1" t="s">
        <v>13</v>
      </c>
      <c r="B132">
        <f>'Small Pricelist'!A131</f>
        <v>7364242</v>
      </c>
      <c r="C132" s="1" t="s">
        <v>14</v>
      </c>
      <c r="D132" t="str">
        <f>VLOOKUP(B132,'Small Pricelist'!A:L,2,0)</f>
        <v>SERVO ECO CF-4 15W-40-10 L</v>
      </c>
      <c r="E132" s="1" t="s">
        <v>14</v>
      </c>
      <c r="F132">
        <f>VLOOKUP(B132,'Small Pricelist'!A:L,3,0)</f>
        <v>3200</v>
      </c>
      <c r="G132" s="1" t="s">
        <v>14</v>
      </c>
      <c r="H132">
        <f>VLOOKUP(B132,'Small Pricelist'!A:L,4,0)</f>
        <v>2196.48</v>
      </c>
      <c r="I132" s="1" t="s">
        <v>14</v>
      </c>
      <c r="J132">
        <f>VLOOKUP(B132,'Small Pricelist'!A:L,5,0)</f>
        <v>0</v>
      </c>
      <c r="K132" s="1" t="s">
        <v>14</v>
      </c>
      <c r="L132">
        <f>VLOOKUP(B132,'Small Pricelist'!A:L,6,0)</f>
        <v>0</v>
      </c>
      <c r="M132" s="1" t="s">
        <v>14</v>
      </c>
      <c r="N132">
        <f>VLOOKUP(B132,'Small Pricelist'!A:L,7,0)</f>
        <v>0</v>
      </c>
      <c r="O132" s="1" t="s">
        <v>14</v>
      </c>
      <c r="P132">
        <f>VLOOKUP(B132,'Small Pricelist'!A:L,8,0)</f>
        <v>2196.48</v>
      </c>
      <c r="Q132" s="1" t="s">
        <v>14</v>
      </c>
      <c r="R132">
        <f>VLOOKUP(B132,'Small Pricelist'!A:L,9,0)</f>
        <v>1003.52</v>
      </c>
      <c r="S132" s="1" t="s">
        <v>14</v>
      </c>
      <c r="T132">
        <f>VLOOKUP(B132,'Small Pricelist'!A:L,10,0)</f>
        <v>100.352</v>
      </c>
      <c r="U132" s="1" t="s">
        <v>14</v>
      </c>
      <c r="V132">
        <f>VLOOKUP(B132,'Small Pricelist'!A:L,11,0)</f>
        <v>45.687645687645684</v>
      </c>
      <c r="W132" s="1" t="s">
        <v>14</v>
      </c>
      <c r="X132">
        <f>VLOOKUP(B132,'Small Pricelist'!A:L,12,0)</f>
        <v>2196.4800000000009</v>
      </c>
      <c r="Y132" s="1" t="s">
        <v>12</v>
      </c>
      <c r="Z132" s="25" t="str">
        <f t="shared" si="2"/>
        <v>&lt;tr&gt; &lt;td&gt;7364242&lt;/td&gt;&lt;td&gt;SERVO ECO CF-4 15W-40-10 L&lt;/td&gt;&lt;td&gt;3200&lt;/td&gt;&lt;td&gt;2196.48&lt;/td&gt;&lt;td&gt;0&lt;/td&gt;&lt;td&gt;0&lt;/td&gt;&lt;td&gt;0&lt;/td&gt;&lt;td&gt;2196.48&lt;/td&gt;&lt;td&gt;1003.52&lt;/td&gt;&lt;td&gt;100.352&lt;/td&gt;&lt;td&gt;45.6876456876457&lt;/td&gt;&lt;td&gt;2196.48&lt;/td&gt;&lt;/tr&gt;</v>
      </c>
    </row>
    <row r="133" spans="1:26" x14ac:dyDescent="0.3">
      <c r="A133" s="1" t="s">
        <v>13</v>
      </c>
      <c r="B133">
        <f>'Small Pricelist'!A132</f>
        <v>7364251</v>
      </c>
      <c r="C133" s="1" t="s">
        <v>14</v>
      </c>
      <c r="D133" t="str">
        <f>VLOOKUP(B133,'Small Pricelist'!A:L,2,0)</f>
        <v>SERVO ECO CF-4 15W-40-7.5 L</v>
      </c>
      <c r="E133" s="1" t="s">
        <v>14</v>
      </c>
      <c r="F133">
        <f>VLOOKUP(B133,'Small Pricelist'!A:L,3,0)</f>
        <v>2363</v>
      </c>
      <c r="G133" s="1" t="s">
        <v>14</v>
      </c>
      <c r="H133">
        <f>VLOOKUP(B133,'Small Pricelist'!A:L,4,0)</f>
        <v>1647.2472999999998</v>
      </c>
      <c r="I133" s="1" t="s">
        <v>14</v>
      </c>
      <c r="J133">
        <f>VLOOKUP(B133,'Small Pricelist'!A:L,5,0)</f>
        <v>0</v>
      </c>
      <c r="K133" s="1" t="s">
        <v>14</v>
      </c>
      <c r="L133">
        <f>VLOOKUP(B133,'Small Pricelist'!A:L,6,0)</f>
        <v>0</v>
      </c>
      <c r="M133" s="1" t="s">
        <v>14</v>
      </c>
      <c r="N133">
        <f>VLOOKUP(B133,'Small Pricelist'!A:L,7,0)</f>
        <v>0</v>
      </c>
      <c r="O133" s="1" t="s">
        <v>14</v>
      </c>
      <c r="P133">
        <f>VLOOKUP(B133,'Small Pricelist'!A:L,8,0)</f>
        <v>1647.2472999999998</v>
      </c>
      <c r="Q133" s="1" t="s">
        <v>14</v>
      </c>
      <c r="R133">
        <f>VLOOKUP(B133,'Small Pricelist'!A:L,9,0)</f>
        <v>715.75270000000023</v>
      </c>
      <c r="S133" s="1" t="s">
        <v>14</v>
      </c>
      <c r="T133">
        <f>VLOOKUP(B133,'Small Pricelist'!A:L,10,0)</f>
        <v>95.433693333333366</v>
      </c>
      <c r="U133" s="1" t="s">
        <v>14</v>
      </c>
      <c r="V133">
        <f>VLOOKUP(B133,'Small Pricelist'!A:L,11,0)</f>
        <v>43.451441686988971</v>
      </c>
      <c r="W133" s="1" t="s">
        <v>14</v>
      </c>
      <c r="X133">
        <f>VLOOKUP(B133,'Small Pricelist'!A:L,12,0)</f>
        <v>1647.2473000000009</v>
      </c>
      <c r="Y133" s="1" t="s">
        <v>12</v>
      </c>
      <c r="Z133" s="25" t="str">
        <f t="shared" si="2"/>
        <v>&lt;tr&gt; &lt;td&gt;7364251&lt;/td&gt;&lt;td&gt;SERVO ECO CF-4 15W-40-7.5 L&lt;/td&gt;&lt;td&gt;2363&lt;/td&gt;&lt;td&gt;1647.2473&lt;/td&gt;&lt;td&gt;0&lt;/td&gt;&lt;td&gt;0&lt;/td&gt;&lt;td&gt;0&lt;/td&gt;&lt;td&gt;1647.2473&lt;/td&gt;&lt;td&gt;715.7527&lt;/td&gt;&lt;td&gt;95.4336933333334&lt;/td&gt;&lt;td&gt;43.451441686989&lt;/td&gt;&lt;td&gt;1647.2473&lt;/td&gt;&lt;/tr&gt;</v>
      </c>
    </row>
    <row r="134" spans="1:26" x14ac:dyDescent="0.3">
      <c r="A134" s="1" t="s">
        <v>13</v>
      </c>
      <c r="B134">
        <f>'Small Pricelist'!A133</f>
        <v>7364256</v>
      </c>
      <c r="C134" s="1" t="s">
        <v>14</v>
      </c>
      <c r="D134" t="str">
        <f>VLOOKUP(B134,'Small Pricelist'!A:L,2,0)</f>
        <v>SERVO ECO CF-4 15W-40-15 L</v>
      </c>
      <c r="E134" s="1" t="s">
        <v>14</v>
      </c>
      <c r="F134">
        <f>VLOOKUP(B134,'Small Pricelist'!A:L,3,0)</f>
        <v>4800</v>
      </c>
      <c r="G134" s="1" t="s">
        <v>14</v>
      </c>
      <c r="H134">
        <f>VLOOKUP(B134,'Small Pricelist'!A:L,4,0)</f>
        <v>3294.72</v>
      </c>
      <c r="I134" s="1" t="s">
        <v>14</v>
      </c>
      <c r="J134">
        <f>VLOOKUP(B134,'Small Pricelist'!A:L,5,0)</f>
        <v>0</v>
      </c>
      <c r="K134" s="1" t="s">
        <v>14</v>
      </c>
      <c r="L134">
        <f>VLOOKUP(B134,'Small Pricelist'!A:L,6,0)</f>
        <v>0</v>
      </c>
      <c r="M134" s="1" t="s">
        <v>14</v>
      </c>
      <c r="N134">
        <f>VLOOKUP(B134,'Small Pricelist'!A:L,7,0)</f>
        <v>0</v>
      </c>
      <c r="O134" s="1" t="s">
        <v>14</v>
      </c>
      <c r="P134">
        <f>VLOOKUP(B134,'Small Pricelist'!A:L,8,0)</f>
        <v>3294.7200000000003</v>
      </c>
      <c r="Q134" s="1" t="s">
        <v>14</v>
      </c>
      <c r="R134">
        <f>VLOOKUP(B134,'Small Pricelist'!A:L,9,0)</f>
        <v>1505.2799999999997</v>
      </c>
      <c r="S134" s="1" t="s">
        <v>14</v>
      </c>
      <c r="T134">
        <f>VLOOKUP(B134,'Small Pricelist'!A:L,10,0)</f>
        <v>100.35199999999998</v>
      </c>
      <c r="U134" s="1" t="s">
        <v>14</v>
      </c>
      <c r="V134">
        <f>VLOOKUP(B134,'Small Pricelist'!A:L,11,0)</f>
        <v>45.687645687645677</v>
      </c>
      <c r="W134" s="1" t="s">
        <v>14</v>
      </c>
      <c r="X134">
        <f>VLOOKUP(B134,'Small Pricelist'!A:L,12,0)</f>
        <v>3294.7200000000025</v>
      </c>
      <c r="Y134" s="1" t="s">
        <v>12</v>
      </c>
      <c r="Z134" s="25" t="str">
        <f t="shared" si="2"/>
        <v>&lt;tr&gt; &lt;td&gt;7364256&lt;/td&gt;&lt;td&gt;SERVO ECO CF-4 15W-40-15 L&lt;/td&gt;&lt;td&gt;4800&lt;/td&gt;&lt;td&gt;3294.72&lt;/td&gt;&lt;td&gt;0&lt;/td&gt;&lt;td&gt;0&lt;/td&gt;&lt;td&gt;0&lt;/td&gt;&lt;td&gt;3294.72&lt;/td&gt;&lt;td&gt;1505.28&lt;/td&gt;&lt;td&gt;100.352&lt;/td&gt;&lt;td&gt;45.6876456876457&lt;/td&gt;&lt;td&gt;3294.72&lt;/td&gt;&lt;/tr&gt;</v>
      </c>
    </row>
    <row r="135" spans="1:26" x14ac:dyDescent="0.3">
      <c r="A135" s="1" t="s">
        <v>13</v>
      </c>
      <c r="B135">
        <f>'Small Pricelist'!A134</f>
        <v>7364265</v>
      </c>
      <c r="C135" s="1" t="s">
        <v>14</v>
      </c>
      <c r="D135" t="str">
        <f>VLOOKUP(B135,'Small Pricelist'!A:L,2,0)</f>
        <v>SERVO ECO CF-4 15W-40-20 L</v>
      </c>
      <c r="E135" s="1" t="s">
        <v>14</v>
      </c>
      <c r="F135">
        <f>VLOOKUP(B135,'Small Pricelist'!A:L,3,0)</f>
        <v>6400</v>
      </c>
      <c r="G135" s="1" t="s">
        <v>14</v>
      </c>
      <c r="H135">
        <f>VLOOKUP(B135,'Small Pricelist'!A:L,4,0)</f>
        <v>4392.96</v>
      </c>
      <c r="I135" s="1" t="s">
        <v>14</v>
      </c>
      <c r="J135">
        <f>VLOOKUP(B135,'Small Pricelist'!A:L,5,0)</f>
        <v>0</v>
      </c>
      <c r="K135" s="1" t="s">
        <v>14</v>
      </c>
      <c r="L135">
        <f>VLOOKUP(B135,'Small Pricelist'!A:L,6,0)</f>
        <v>0</v>
      </c>
      <c r="M135" s="1" t="s">
        <v>14</v>
      </c>
      <c r="N135">
        <f>VLOOKUP(B135,'Small Pricelist'!A:L,7,0)</f>
        <v>0</v>
      </c>
      <c r="O135" s="1" t="s">
        <v>14</v>
      </c>
      <c r="P135">
        <f>VLOOKUP(B135,'Small Pricelist'!A:L,8,0)</f>
        <v>4392.96</v>
      </c>
      <c r="Q135" s="1" t="s">
        <v>14</v>
      </c>
      <c r="R135">
        <f>VLOOKUP(B135,'Small Pricelist'!A:L,9,0)</f>
        <v>2007.04</v>
      </c>
      <c r="S135" s="1" t="s">
        <v>14</v>
      </c>
      <c r="T135">
        <f>VLOOKUP(B135,'Small Pricelist'!A:L,10,0)</f>
        <v>100.352</v>
      </c>
      <c r="U135" s="1" t="s">
        <v>14</v>
      </c>
      <c r="V135">
        <f>VLOOKUP(B135,'Small Pricelist'!A:L,11,0)</f>
        <v>45.687645687645684</v>
      </c>
      <c r="W135" s="1" t="s">
        <v>14</v>
      </c>
      <c r="X135">
        <f>VLOOKUP(B135,'Small Pricelist'!A:L,12,0)</f>
        <v>4392.9600000000028</v>
      </c>
      <c r="Y135" s="1" t="s">
        <v>12</v>
      </c>
      <c r="Z135" s="25" t="str">
        <f t="shared" si="2"/>
        <v>&lt;tr&gt; &lt;td&gt;7364265&lt;/td&gt;&lt;td&gt;SERVO ECO CF-4 15W-40-20 L&lt;/td&gt;&lt;td&gt;6400&lt;/td&gt;&lt;td&gt;4392.96&lt;/td&gt;&lt;td&gt;0&lt;/td&gt;&lt;td&gt;0&lt;/td&gt;&lt;td&gt;0&lt;/td&gt;&lt;td&gt;4392.96&lt;/td&gt;&lt;td&gt;2007.04&lt;/td&gt;&lt;td&gt;100.352&lt;/td&gt;&lt;td&gt;45.6876456876457&lt;/td&gt;&lt;td&gt;4392.96&lt;/td&gt;&lt;/tr&gt;</v>
      </c>
    </row>
    <row r="136" spans="1:26" x14ac:dyDescent="0.3">
      <c r="A136" s="1" t="s">
        <v>13</v>
      </c>
      <c r="B136">
        <f>'Small Pricelist'!A135</f>
        <v>7370184</v>
      </c>
      <c r="C136" s="1" t="s">
        <v>14</v>
      </c>
      <c r="D136" t="str">
        <f>VLOOKUP(B136,'Small Pricelist'!A:L,2,0)</f>
        <v>SERVO ECO CI4 PLUS 15W-40-20 X 1 L</v>
      </c>
      <c r="E136" s="1" t="s">
        <v>14</v>
      </c>
      <c r="F136">
        <f>VLOOKUP(B136,'Small Pricelist'!A:L,3,0)</f>
        <v>345</v>
      </c>
      <c r="G136" s="1" t="s">
        <v>14</v>
      </c>
      <c r="H136">
        <f>VLOOKUP(B136,'Small Pricelist'!A:L,4,0)</f>
        <v>236.11799999999999</v>
      </c>
      <c r="I136" s="1" t="s">
        <v>14</v>
      </c>
      <c r="J136">
        <f>VLOOKUP(B136,'Small Pricelist'!A:L,5,0)</f>
        <v>0</v>
      </c>
      <c r="K136" s="1" t="s">
        <v>14</v>
      </c>
      <c r="L136">
        <f>VLOOKUP(B136,'Small Pricelist'!A:L,6,0)</f>
        <v>0</v>
      </c>
      <c r="M136" s="1" t="s">
        <v>14</v>
      </c>
      <c r="N136">
        <f>VLOOKUP(B136,'Small Pricelist'!A:L,7,0)</f>
        <v>0</v>
      </c>
      <c r="O136" s="1" t="s">
        <v>14</v>
      </c>
      <c r="P136">
        <f>VLOOKUP(B136,'Small Pricelist'!A:L,8,0)</f>
        <v>236.11799999999999</v>
      </c>
      <c r="Q136" s="1" t="s">
        <v>14</v>
      </c>
      <c r="R136">
        <f>VLOOKUP(B136,'Small Pricelist'!A:L,9,0)</f>
        <v>108.88200000000001</v>
      </c>
      <c r="S136" s="1" t="s">
        <v>14</v>
      </c>
      <c r="T136">
        <f>VLOOKUP(B136,'Small Pricelist'!A:L,10,0)</f>
        <v>108.88200000000001</v>
      </c>
      <c r="U136" s="1" t="s">
        <v>14</v>
      </c>
      <c r="V136">
        <f>VLOOKUP(B136,'Small Pricelist'!A:L,11,0)</f>
        <v>46.113383985973115</v>
      </c>
      <c r="W136" s="1" t="s">
        <v>14</v>
      </c>
      <c r="X136">
        <f>VLOOKUP(B136,'Small Pricelist'!A:L,12,0)</f>
        <v>4722.3600000000033</v>
      </c>
      <c r="Y136" s="1" t="s">
        <v>12</v>
      </c>
      <c r="Z136" s="25" t="str">
        <f t="shared" si="2"/>
        <v>&lt;tr&gt; &lt;td&gt;7370184&lt;/td&gt;&lt;td&gt;SERVO ECO CI4 PLUS 15W-40-20 X 1 L&lt;/td&gt;&lt;td&gt;345&lt;/td&gt;&lt;td&gt;236.118&lt;/td&gt;&lt;td&gt;0&lt;/td&gt;&lt;td&gt;0&lt;/td&gt;&lt;td&gt;0&lt;/td&gt;&lt;td&gt;236.118&lt;/td&gt;&lt;td&gt;108.882&lt;/td&gt;&lt;td&gt;108.882&lt;/td&gt;&lt;td&gt;46.1133839859731&lt;/td&gt;&lt;td&gt;4722.36&lt;/td&gt;&lt;/tr&gt;</v>
      </c>
    </row>
    <row r="137" spans="1:26" x14ac:dyDescent="0.3">
      <c r="A137" s="1" t="s">
        <v>13</v>
      </c>
      <c r="B137">
        <f>'Small Pricelist'!A136</f>
        <v>7370234</v>
      </c>
      <c r="C137" s="1" t="s">
        <v>14</v>
      </c>
      <c r="D137" t="str">
        <f>VLOOKUP(B137,'Small Pricelist'!A:L,2,0)</f>
        <v>SERVO ECO CI4 PLUS 15W-40-4 X 5 L</v>
      </c>
      <c r="E137" s="1" t="s">
        <v>14</v>
      </c>
      <c r="F137">
        <f>VLOOKUP(B137,'Small Pricelist'!A:L,3,0)</f>
        <v>1750</v>
      </c>
      <c r="G137" s="1" t="s">
        <v>14</v>
      </c>
      <c r="H137">
        <f>VLOOKUP(B137,'Small Pricelist'!A:L,4,0)</f>
        <v>1180.55</v>
      </c>
      <c r="I137" s="1" t="s">
        <v>14</v>
      </c>
      <c r="J137">
        <f>VLOOKUP(B137,'Small Pricelist'!A:L,5,0)</f>
        <v>0</v>
      </c>
      <c r="K137" s="1" t="s">
        <v>14</v>
      </c>
      <c r="L137">
        <f>VLOOKUP(B137,'Small Pricelist'!A:L,6,0)</f>
        <v>0</v>
      </c>
      <c r="M137" s="1" t="s">
        <v>14</v>
      </c>
      <c r="N137">
        <f>VLOOKUP(B137,'Small Pricelist'!A:L,7,0)</f>
        <v>0</v>
      </c>
      <c r="O137" s="1" t="s">
        <v>14</v>
      </c>
      <c r="P137">
        <f>VLOOKUP(B137,'Small Pricelist'!A:L,8,0)</f>
        <v>1180.55</v>
      </c>
      <c r="Q137" s="1" t="s">
        <v>14</v>
      </c>
      <c r="R137">
        <f>VLOOKUP(B137,'Small Pricelist'!A:L,9,0)</f>
        <v>569.45000000000005</v>
      </c>
      <c r="S137" s="1" t="s">
        <v>14</v>
      </c>
      <c r="T137">
        <f>VLOOKUP(B137,'Small Pricelist'!A:L,10,0)</f>
        <v>113.89000000000001</v>
      </c>
      <c r="U137" s="1" t="s">
        <v>14</v>
      </c>
      <c r="V137">
        <f>VLOOKUP(B137,'Small Pricelist'!A:L,11,0)</f>
        <v>48.235991698784467</v>
      </c>
      <c r="W137" s="1" t="s">
        <v>14</v>
      </c>
      <c r="X137">
        <f>VLOOKUP(B137,'Small Pricelist'!A:L,12,0)</f>
        <v>4722.2000000000025</v>
      </c>
      <c r="Y137" s="1" t="s">
        <v>12</v>
      </c>
      <c r="Z137" s="25" t="str">
        <f t="shared" si="2"/>
        <v>&lt;tr&gt; &lt;td&gt;7370234&lt;/td&gt;&lt;td&gt;SERVO ECO CI4 PLUS 15W-40-4 X 5 L&lt;/td&gt;&lt;td&gt;1750&lt;/td&gt;&lt;td&gt;1180.55&lt;/td&gt;&lt;td&gt;0&lt;/td&gt;&lt;td&gt;0&lt;/td&gt;&lt;td&gt;0&lt;/td&gt;&lt;td&gt;1180.55&lt;/td&gt;&lt;td&gt;569.45&lt;/td&gt;&lt;td&gt;113.89&lt;/td&gt;&lt;td&gt;48.2359916987845&lt;/td&gt;&lt;td&gt;4722.2&lt;/td&gt;&lt;/tr&gt;</v>
      </c>
    </row>
    <row r="138" spans="1:26" x14ac:dyDescent="0.3">
      <c r="A138" s="1" t="s">
        <v>13</v>
      </c>
      <c r="B138">
        <f>'Small Pricelist'!A137</f>
        <v>7370242</v>
      </c>
      <c r="C138" s="1" t="s">
        <v>14</v>
      </c>
      <c r="D138" t="str">
        <f>VLOOKUP(B138,'Small Pricelist'!A:L,2,0)</f>
        <v>SERVO ECO CI4 PLUS 15W-40-10 L</v>
      </c>
      <c r="E138" s="1" t="s">
        <v>14</v>
      </c>
      <c r="F138">
        <f>VLOOKUP(B138,'Small Pricelist'!A:L,3,0)</f>
        <v>3550</v>
      </c>
      <c r="G138" s="1" t="s">
        <v>14</v>
      </c>
      <c r="H138">
        <f>VLOOKUP(B138,'Small Pricelist'!A:L,4,0)</f>
        <v>2361.1050000000005</v>
      </c>
      <c r="I138" s="1" t="s">
        <v>14</v>
      </c>
      <c r="J138">
        <f>VLOOKUP(B138,'Small Pricelist'!A:L,5,0)</f>
        <v>0</v>
      </c>
      <c r="K138" s="1" t="s">
        <v>14</v>
      </c>
      <c r="L138">
        <f>VLOOKUP(B138,'Small Pricelist'!A:L,6,0)</f>
        <v>0</v>
      </c>
      <c r="M138" s="1" t="s">
        <v>14</v>
      </c>
      <c r="N138">
        <f>VLOOKUP(B138,'Small Pricelist'!A:L,7,0)</f>
        <v>0</v>
      </c>
      <c r="O138" s="1" t="s">
        <v>14</v>
      </c>
      <c r="P138">
        <f>VLOOKUP(B138,'Small Pricelist'!A:L,8,0)</f>
        <v>2361.1050000000005</v>
      </c>
      <c r="Q138" s="1" t="s">
        <v>14</v>
      </c>
      <c r="R138">
        <f>VLOOKUP(B138,'Small Pricelist'!A:L,9,0)</f>
        <v>1188.8949999999995</v>
      </c>
      <c r="S138" s="1" t="s">
        <v>14</v>
      </c>
      <c r="T138">
        <f>VLOOKUP(B138,'Small Pricelist'!A:L,10,0)</f>
        <v>118.88949999999994</v>
      </c>
      <c r="U138" s="1" t="s">
        <v>14</v>
      </c>
      <c r="V138">
        <f>VLOOKUP(B138,'Small Pricelist'!A:L,11,0)</f>
        <v>50.3533303262667</v>
      </c>
      <c r="W138" s="1" t="s">
        <v>14</v>
      </c>
      <c r="X138">
        <f>VLOOKUP(B138,'Small Pricelist'!A:L,12,0)</f>
        <v>2361.1050000000014</v>
      </c>
      <c r="Y138" s="1" t="s">
        <v>12</v>
      </c>
      <c r="Z138" s="25" t="str">
        <f t="shared" si="2"/>
        <v>&lt;tr&gt; &lt;td&gt;7370242&lt;/td&gt;&lt;td&gt;SERVO ECO CI4 PLUS 15W-40-10 L&lt;/td&gt;&lt;td&gt;3550&lt;/td&gt;&lt;td&gt;2361.105&lt;/td&gt;&lt;td&gt;0&lt;/td&gt;&lt;td&gt;0&lt;/td&gt;&lt;td&gt;0&lt;/td&gt;&lt;td&gt;2361.105&lt;/td&gt;&lt;td&gt;1188.895&lt;/td&gt;&lt;td&gt;118.8895&lt;/td&gt;&lt;td&gt;50.3533303262667&lt;/td&gt;&lt;td&gt;2361.105&lt;/td&gt;&lt;/tr&gt;</v>
      </c>
    </row>
    <row r="139" spans="1:26" x14ac:dyDescent="0.3">
      <c r="A139" s="1" t="s">
        <v>13</v>
      </c>
      <c r="B139">
        <f>'Small Pricelist'!A138</f>
        <v>7370251</v>
      </c>
      <c r="C139" s="1" t="s">
        <v>14</v>
      </c>
      <c r="D139" t="str">
        <f>VLOOKUP(B139,'Small Pricelist'!A:L,2,0)</f>
        <v>SERVO ECO CI4 PLUS 15W-40-7.5 L</v>
      </c>
      <c r="E139" s="1" t="s">
        <v>14</v>
      </c>
      <c r="F139">
        <f>VLOOKUP(B139,'Small Pricelist'!A:L,3,0)</f>
        <v>2663</v>
      </c>
      <c r="G139" s="1" t="s">
        <v>14</v>
      </c>
      <c r="H139">
        <f>VLOOKUP(B139,'Small Pricelist'!A:L,4,0)</f>
        <v>1770.895</v>
      </c>
      <c r="I139" s="1" t="s">
        <v>14</v>
      </c>
      <c r="J139">
        <f>VLOOKUP(B139,'Small Pricelist'!A:L,5,0)</f>
        <v>0</v>
      </c>
      <c r="K139" s="1" t="s">
        <v>14</v>
      </c>
      <c r="L139">
        <f>VLOOKUP(B139,'Small Pricelist'!A:L,6,0)</f>
        <v>0</v>
      </c>
      <c r="M139" s="1" t="s">
        <v>14</v>
      </c>
      <c r="N139">
        <f>VLOOKUP(B139,'Small Pricelist'!A:L,7,0)</f>
        <v>0</v>
      </c>
      <c r="O139" s="1" t="s">
        <v>14</v>
      </c>
      <c r="P139">
        <f>VLOOKUP(B139,'Small Pricelist'!A:L,8,0)</f>
        <v>1770.895</v>
      </c>
      <c r="Q139" s="1" t="s">
        <v>14</v>
      </c>
      <c r="R139">
        <f>VLOOKUP(B139,'Small Pricelist'!A:L,9,0)</f>
        <v>892.10500000000002</v>
      </c>
      <c r="S139" s="1" t="s">
        <v>14</v>
      </c>
      <c r="T139">
        <f>VLOOKUP(B139,'Small Pricelist'!A:L,10,0)</f>
        <v>118.94733333333332</v>
      </c>
      <c r="U139" s="1" t="s">
        <v>14</v>
      </c>
      <c r="V139">
        <f>VLOOKUP(B139,'Small Pricelist'!A:L,11,0)</f>
        <v>50.375939849624061</v>
      </c>
      <c r="W139" s="1" t="s">
        <v>14</v>
      </c>
      <c r="X139">
        <f>VLOOKUP(B139,'Small Pricelist'!A:L,12,0)</f>
        <v>1770.8950000000011</v>
      </c>
      <c r="Y139" s="1" t="s">
        <v>12</v>
      </c>
      <c r="Z139" s="25" t="str">
        <f t="shared" si="2"/>
        <v>&lt;tr&gt; &lt;td&gt;7370251&lt;/td&gt;&lt;td&gt;SERVO ECO CI4 PLUS 15W-40-7.5 L&lt;/td&gt;&lt;td&gt;2663&lt;/td&gt;&lt;td&gt;1770.895&lt;/td&gt;&lt;td&gt;0&lt;/td&gt;&lt;td&gt;0&lt;/td&gt;&lt;td&gt;0&lt;/td&gt;&lt;td&gt;1770.895&lt;/td&gt;&lt;td&gt;892.105&lt;/td&gt;&lt;td&gt;118.947333333333&lt;/td&gt;&lt;td&gt;50.3759398496241&lt;/td&gt;&lt;td&gt;1770.895&lt;/td&gt;&lt;/tr&gt;</v>
      </c>
    </row>
    <row r="140" spans="1:26" x14ac:dyDescent="0.3">
      <c r="A140" s="1" t="s">
        <v>13</v>
      </c>
      <c r="B140">
        <f>'Small Pricelist'!A139</f>
        <v>7370256</v>
      </c>
      <c r="C140" s="1" t="s">
        <v>14</v>
      </c>
      <c r="D140" t="str">
        <f>VLOOKUP(B140,'Small Pricelist'!A:L,2,0)</f>
        <v>SERVO ECO CI4 PLUS 15W-40-15 L</v>
      </c>
      <c r="E140" s="1" t="s">
        <v>14</v>
      </c>
      <c r="F140">
        <f>VLOOKUP(B140,'Small Pricelist'!A:L,3,0)</f>
        <v>5325</v>
      </c>
      <c r="G140" s="1" t="s">
        <v>14</v>
      </c>
      <c r="H140">
        <f>VLOOKUP(B140,'Small Pricelist'!A:L,4,0)</f>
        <v>3541.6574999999998</v>
      </c>
      <c r="I140" s="1" t="s">
        <v>14</v>
      </c>
      <c r="J140">
        <f>VLOOKUP(B140,'Small Pricelist'!A:L,5,0)</f>
        <v>0</v>
      </c>
      <c r="K140" s="1" t="s">
        <v>14</v>
      </c>
      <c r="L140">
        <f>VLOOKUP(B140,'Small Pricelist'!A:L,6,0)</f>
        <v>0</v>
      </c>
      <c r="M140" s="1" t="s">
        <v>14</v>
      </c>
      <c r="N140">
        <f>VLOOKUP(B140,'Small Pricelist'!A:L,7,0)</f>
        <v>0</v>
      </c>
      <c r="O140" s="1" t="s">
        <v>14</v>
      </c>
      <c r="P140">
        <f>VLOOKUP(B140,'Small Pricelist'!A:L,8,0)</f>
        <v>3541.6574999999993</v>
      </c>
      <c r="Q140" s="1" t="s">
        <v>14</v>
      </c>
      <c r="R140">
        <f>VLOOKUP(B140,'Small Pricelist'!A:L,9,0)</f>
        <v>1783.3425000000007</v>
      </c>
      <c r="S140" s="1" t="s">
        <v>14</v>
      </c>
      <c r="T140">
        <f>VLOOKUP(B140,'Small Pricelist'!A:L,10,0)</f>
        <v>118.88950000000006</v>
      </c>
      <c r="U140" s="1" t="s">
        <v>14</v>
      </c>
      <c r="V140">
        <f>VLOOKUP(B140,'Small Pricelist'!A:L,11,0)</f>
        <v>50.353330326266757</v>
      </c>
      <c r="W140" s="1" t="s">
        <v>14</v>
      </c>
      <c r="X140">
        <f>VLOOKUP(B140,'Small Pricelist'!A:L,12,0)</f>
        <v>3541.6575000000016</v>
      </c>
      <c r="Y140" s="1" t="s">
        <v>12</v>
      </c>
      <c r="Z140" s="25" t="str">
        <f t="shared" si="2"/>
        <v>&lt;tr&gt; &lt;td&gt;7370256&lt;/td&gt;&lt;td&gt;SERVO ECO CI4 PLUS 15W-40-15 L&lt;/td&gt;&lt;td&gt;5325&lt;/td&gt;&lt;td&gt;3541.6575&lt;/td&gt;&lt;td&gt;0&lt;/td&gt;&lt;td&gt;0&lt;/td&gt;&lt;td&gt;0&lt;/td&gt;&lt;td&gt;3541.6575&lt;/td&gt;&lt;td&gt;1783.3425&lt;/td&gt;&lt;td&gt;118.8895&lt;/td&gt;&lt;td&gt;50.3533303262668&lt;/td&gt;&lt;td&gt;3541.6575&lt;/td&gt;&lt;/tr&gt;</v>
      </c>
    </row>
    <row r="141" spans="1:26" x14ac:dyDescent="0.3">
      <c r="A141" s="1" t="s">
        <v>13</v>
      </c>
      <c r="B141">
        <f>'Small Pricelist'!A140</f>
        <v>7376184</v>
      </c>
      <c r="C141" s="1" t="s">
        <v>14</v>
      </c>
      <c r="D141" t="str">
        <f>VLOOKUP(B141,'Small Pricelist'!A:L,2,0)</f>
        <v>SERVO ECO TRACTOR OIL-20 X 1 L</v>
      </c>
      <c r="E141" s="1" t="s">
        <v>14</v>
      </c>
      <c r="F141">
        <f>VLOOKUP(B141,'Small Pricelist'!A:L,3,0)</f>
        <v>285</v>
      </c>
      <c r="G141" s="1" t="s">
        <v>14</v>
      </c>
      <c r="H141">
        <f>VLOOKUP(B141,'Small Pricelist'!A:L,4,0)</f>
        <v>196.3365</v>
      </c>
      <c r="I141" s="1" t="s">
        <v>14</v>
      </c>
      <c r="J141">
        <f>VLOOKUP(B141,'Small Pricelist'!A:L,5,0)</f>
        <v>0</v>
      </c>
      <c r="K141" s="1" t="s">
        <v>14</v>
      </c>
      <c r="L141">
        <f>VLOOKUP(B141,'Small Pricelist'!A:L,6,0)</f>
        <v>0</v>
      </c>
      <c r="M141" s="1" t="s">
        <v>14</v>
      </c>
      <c r="N141">
        <f>VLOOKUP(B141,'Small Pricelist'!A:L,7,0)</f>
        <v>0</v>
      </c>
      <c r="O141" s="1" t="s">
        <v>14</v>
      </c>
      <c r="P141">
        <f>VLOOKUP(B141,'Small Pricelist'!A:L,8,0)</f>
        <v>196.3365</v>
      </c>
      <c r="Q141" s="1" t="s">
        <v>14</v>
      </c>
      <c r="R141">
        <f>VLOOKUP(B141,'Small Pricelist'!A:L,9,0)</f>
        <v>88.663499999999999</v>
      </c>
      <c r="S141" s="1" t="s">
        <v>14</v>
      </c>
      <c r="T141">
        <f>VLOOKUP(B141,'Small Pricelist'!A:L,10,0)</f>
        <v>88.663499999999999</v>
      </c>
      <c r="U141" s="1" t="s">
        <v>14</v>
      </c>
      <c r="V141">
        <f>VLOOKUP(B141,'Small Pricelist'!A:L,11,0)</f>
        <v>45.158949049208886</v>
      </c>
      <c r="W141" s="1" t="s">
        <v>14</v>
      </c>
      <c r="X141">
        <f>VLOOKUP(B141,'Small Pricelist'!A:L,12,0)</f>
        <v>3926.7300000000027</v>
      </c>
      <c r="Y141" s="1" t="s">
        <v>12</v>
      </c>
      <c r="Z141" s="25" t="str">
        <f t="shared" si="2"/>
        <v>&lt;tr&gt; &lt;td&gt;7376184&lt;/td&gt;&lt;td&gt;SERVO ECO TRACTOR OIL-20 X 1 L&lt;/td&gt;&lt;td&gt;285&lt;/td&gt;&lt;td&gt;196.3365&lt;/td&gt;&lt;td&gt;0&lt;/td&gt;&lt;td&gt;0&lt;/td&gt;&lt;td&gt;0&lt;/td&gt;&lt;td&gt;196.3365&lt;/td&gt;&lt;td&gt;88.6635&lt;/td&gt;&lt;td&gt;88.6635&lt;/td&gt;&lt;td&gt;45.1589490492089&lt;/td&gt;&lt;td&gt;3926.73&lt;/td&gt;&lt;/tr&gt;</v>
      </c>
    </row>
    <row r="142" spans="1:26" x14ac:dyDescent="0.3">
      <c r="A142" s="1" t="s">
        <v>13</v>
      </c>
      <c r="B142">
        <f>'Small Pricelist'!A141</f>
        <v>7376251</v>
      </c>
      <c r="C142" s="1" t="s">
        <v>14</v>
      </c>
      <c r="D142" t="str">
        <f>VLOOKUP(B142,'Small Pricelist'!A:L,2,0)</f>
        <v>SERVO ECO TRACTOR OIL-7.5 L</v>
      </c>
      <c r="E142" s="1" t="s">
        <v>14</v>
      </c>
      <c r="F142">
        <f>VLOOKUP(B142,'Small Pricelist'!A:L,3,0)</f>
        <v>2213</v>
      </c>
      <c r="G142" s="1" t="s">
        <v>14</v>
      </c>
      <c r="H142">
        <f>VLOOKUP(B142,'Small Pricelist'!A:L,4,0)</f>
        <v>1477.3987999999999</v>
      </c>
      <c r="I142" s="1" t="s">
        <v>14</v>
      </c>
      <c r="J142">
        <f>VLOOKUP(B142,'Small Pricelist'!A:L,5,0)</f>
        <v>0</v>
      </c>
      <c r="K142" s="1" t="s">
        <v>14</v>
      </c>
      <c r="L142">
        <f>VLOOKUP(B142,'Small Pricelist'!A:L,6,0)</f>
        <v>0</v>
      </c>
      <c r="M142" s="1" t="s">
        <v>14</v>
      </c>
      <c r="N142">
        <f>VLOOKUP(B142,'Small Pricelist'!A:L,7,0)</f>
        <v>0</v>
      </c>
      <c r="O142" s="1" t="s">
        <v>14</v>
      </c>
      <c r="P142">
        <f>VLOOKUP(B142,'Small Pricelist'!A:L,8,0)</f>
        <v>1477.3987999999999</v>
      </c>
      <c r="Q142" s="1" t="s">
        <v>14</v>
      </c>
      <c r="R142">
        <f>VLOOKUP(B142,'Small Pricelist'!A:L,9,0)</f>
        <v>735.60120000000006</v>
      </c>
      <c r="S142" s="1" t="s">
        <v>14</v>
      </c>
      <c r="T142">
        <f>VLOOKUP(B142,'Small Pricelist'!A:L,10,0)</f>
        <v>98.080160000000006</v>
      </c>
      <c r="U142" s="1" t="s">
        <v>14</v>
      </c>
      <c r="V142">
        <f>VLOOKUP(B142,'Small Pricelist'!A:L,11,0)</f>
        <v>49.790293588975445</v>
      </c>
      <c r="W142" s="1" t="s">
        <v>14</v>
      </c>
      <c r="X142">
        <f>VLOOKUP(B142,'Small Pricelist'!A:L,12,0)</f>
        <v>1477.3988000000008</v>
      </c>
      <c r="Y142" s="1" t="s">
        <v>12</v>
      </c>
      <c r="Z142" s="25" t="str">
        <f t="shared" si="2"/>
        <v>&lt;tr&gt; &lt;td&gt;7376251&lt;/td&gt;&lt;td&gt;SERVO ECO TRACTOR OIL-7.5 L&lt;/td&gt;&lt;td&gt;2213&lt;/td&gt;&lt;td&gt;1477.3988&lt;/td&gt;&lt;td&gt;0&lt;/td&gt;&lt;td&gt;0&lt;/td&gt;&lt;td&gt;0&lt;/td&gt;&lt;td&gt;1477.3988&lt;/td&gt;&lt;td&gt;735.6012&lt;/td&gt;&lt;td&gt;98.08016&lt;/td&gt;&lt;td&gt;49.7902935889754&lt;/td&gt;&lt;td&gt;1477.3988&lt;/td&gt;&lt;/tr&gt;</v>
      </c>
    </row>
    <row r="143" spans="1:26" x14ac:dyDescent="0.3">
      <c r="A143" s="1" t="s">
        <v>13</v>
      </c>
      <c r="B143">
        <f>'Small Pricelist'!A142</f>
        <v>7403265</v>
      </c>
      <c r="C143" s="1" t="s">
        <v>14</v>
      </c>
      <c r="D143" t="str">
        <f>VLOOKUP(B143,'Small Pricelist'!A:L,2,0)</f>
        <v>SERVOELECTRA-20 L</v>
      </c>
      <c r="E143" s="1" t="s">
        <v>14</v>
      </c>
      <c r="F143">
        <f>VLOOKUP(B143,'Small Pricelist'!A:L,3,0)</f>
        <v>4929</v>
      </c>
      <c r="G143" s="1" t="s">
        <v>14</v>
      </c>
      <c r="H143">
        <f>VLOOKUP(B143,'Small Pricelist'!A:L,4,0)</f>
        <v>4675.1565000000001</v>
      </c>
      <c r="I143" s="1" t="s">
        <v>14</v>
      </c>
      <c r="J143">
        <f>VLOOKUP(B143,'Small Pricelist'!A:L,5,0)</f>
        <v>0</v>
      </c>
      <c r="K143" s="1" t="s">
        <v>14</v>
      </c>
      <c r="L143">
        <f>VLOOKUP(B143,'Small Pricelist'!A:L,6,0)</f>
        <v>0</v>
      </c>
      <c r="M143" s="1" t="s">
        <v>14</v>
      </c>
      <c r="N143">
        <f>VLOOKUP(B143,'Small Pricelist'!A:L,7,0)</f>
        <v>0</v>
      </c>
      <c r="O143" s="1" t="s">
        <v>14</v>
      </c>
      <c r="P143">
        <f>VLOOKUP(B143,'Small Pricelist'!A:L,8,0)</f>
        <v>4675.1565000000001</v>
      </c>
      <c r="Q143" s="1" t="s">
        <v>14</v>
      </c>
      <c r="R143">
        <f>VLOOKUP(B143,'Small Pricelist'!A:L,9,0)</f>
        <v>253.84349999999995</v>
      </c>
      <c r="S143" s="1" t="s">
        <v>14</v>
      </c>
      <c r="T143">
        <f>VLOOKUP(B143,'Small Pricelist'!A:L,10,0)</f>
        <v>12.692174999999992</v>
      </c>
      <c r="U143" s="1" t="s">
        <v>14</v>
      </c>
      <c r="V143">
        <f>VLOOKUP(B143,'Small Pricelist'!A:L,11,0)</f>
        <v>5.4296257248286759</v>
      </c>
      <c r="W143" s="1" t="s">
        <v>14</v>
      </c>
      <c r="X143">
        <f>VLOOKUP(B143,'Small Pricelist'!A:L,12,0)</f>
        <v>4675.1565000000028</v>
      </c>
      <c r="Y143" s="1" t="s">
        <v>12</v>
      </c>
      <c r="Z143" s="25" t="str">
        <f t="shared" si="2"/>
        <v>&lt;tr&gt; &lt;td&gt;7403265&lt;/td&gt;&lt;td&gt;SERVOELECTRA-20 L&lt;/td&gt;&lt;td&gt;4929&lt;/td&gt;&lt;td&gt;4675.1565&lt;/td&gt;&lt;td&gt;0&lt;/td&gt;&lt;td&gt;0&lt;/td&gt;&lt;td&gt;0&lt;/td&gt;&lt;td&gt;4675.1565&lt;/td&gt;&lt;td&gt;253.8435&lt;/td&gt;&lt;td&gt;12.692175&lt;/td&gt;&lt;td&gt;5.42962572482868&lt;/td&gt;&lt;td&gt;4675.1565&lt;/td&gt;&lt;/tr&gt;</v>
      </c>
    </row>
    <row r="144" spans="1:26" x14ac:dyDescent="0.3">
      <c r="A144" s="1" t="s">
        <v>13</v>
      </c>
      <c r="B144">
        <f>'Small Pricelist'!A143</f>
        <v>7420213</v>
      </c>
      <c r="C144" s="1" t="s">
        <v>14</v>
      </c>
      <c r="D144" t="str">
        <f>VLOOKUP(B144,'Small Pricelist'!A:L,2,0)</f>
        <v>HY SERVO PETROL EO SN PLUS-4 X 3.5 L</v>
      </c>
      <c r="E144" s="1" t="s">
        <v>14</v>
      </c>
      <c r="F144">
        <f>VLOOKUP(B144,'Small Pricelist'!A:L,3,0)</f>
        <v>1575</v>
      </c>
      <c r="G144" s="1" t="s">
        <v>14</v>
      </c>
      <c r="H144">
        <f>VLOOKUP(B144,'Small Pricelist'!A:L,4,0)</f>
        <v>1284.4124999999999</v>
      </c>
      <c r="I144" s="1" t="s">
        <v>14</v>
      </c>
      <c r="J144">
        <f>VLOOKUP(B144,'Small Pricelist'!A:L,5,0)</f>
        <v>0</v>
      </c>
      <c r="K144" s="1" t="s">
        <v>14</v>
      </c>
      <c r="L144">
        <f>VLOOKUP(B144,'Small Pricelist'!A:L,6,0)</f>
        <v>0</v>
      </c>
      <c r="M144" s="1" t="s">
        <v>14</v>
      </c>
      <c r="N144">
        <f>VLOOKUP(B144,'Small Pricelist'!A:L,7,0)</f>
        <v>0</v>
      </c>
      <c r="O144" s="1" t="s">
        <v>14</v>
      </c>
      <c r="P144">
        <f>VLOOKUP(B144,'Small Pricelist'!A:L,8,0)</f>
        <v>1284.4124999999999</v>
      </c>
      <c r="Q144" s="1" t="s">
        <v>14</v>
      </c>
      <c r="R144">
        <f>VLOOKUP(B144,'Small Pricelist'!A:L,9,0)</f>
        <v>290.58750000000009</v>
      </c>
      <c r="S144" s="1" t="s">
        <v>14</v>
      </c>
      <c r="T144">
        <f>VLOOKUP(B144,'Small Pricelist'!A:L,10,0)</f>
        <v>83.025000000000034</v>
      </c>
      <c r="U144" s="1" t="s">
        <v>14</v>
      </c>
      <c r="V144">
        <f>VLOOKUP(B144,'Small Pricelist'!A:L,11,0)</f>
        <v>22.624156958920917</v>
      </c>
      <c r="W144" s="1" t="s">
        <v>14</v>
      </c>
      <c r="X144">
        <f>VLOOKUP(B144,'Small Pricelist'!A:L,12,0)</f>
        <v>5137.6500000000005</v>
      </c>
      <c r="Y144" s="1" t="s">
        <v>12</v>
      </c>
      <c r="Z144" s="25" t="str">
        <f t="shared" si="2"/>
        <v>&lt;tr&gt; &lt;td&gt;7420213&lt;/td&gt;&lt;td&gt;HY SERVO PETROL EO SN PLUS-4 X 3.5 L&lt;/td&gt;&lt;td&gt;1575&lt;/td&gt;&lt;td&gt;1284.4125&lt;/td&gt;&lt;td&gt;0&lt;/td&gt;&lt;td&gt;0&lt;/td&gt;&lt;td&gt;0&lt;/td&gt;&lt;td&gt;1284.4125&lt;/td&gt;&lt;td&gt;290.5875&lt;/td&gt;&lt;td&gt;83.025&lt;/td&gt;&lt;td&gt;22.6241569589209&lt;/td&gt;&lt;td&gt;5137.65&lt;/td&gt;&lt;/tr&gt;</v>
      </c>
    </row>
    <row r="145" spans="1:26" x14ac:dyDescent="0.3">
      <c r="A145" s="1" t="s">
        <v>13</v>
      </c>
      <c r="B145">
        <f>'Small Pricelist'!A144</f>
        <v>7420222</v>
      </c>
      <c r="C145" s="1" t="s">
        <v>14</v>
      </c>
      <c r="D145" t="str">
        <f>VLOOKUP(B145,'Small Pricelist'!A:L,2,0)</f>
        <v>HY SERVO PETROL EO SN PLUS-4 X 4 L</v>
      </c>
      <c r="E145" s="1" t="s">
        <v>14</v>
      </c>
      <c r="F145">
        <f>VLOOKUP(B145,'Small Pricelist'!A:L,3,0)</f>
        <v>1800</v>
      </c>
      <c r="G145" s="1" t="s">
        <v>14</v>
      </c>
      <c r="H145">
        <f>VLOOKUP(B145,'Small Pricelist'!A:L,4,0)</f>
        <v>1468.08</v>
      </c>
      <c r="I145" s="1" t="s">
        <v>14</v>
      </c>
      <c r="J145">
        <f>VLOOKUP(B145,'Small Pricelist'!A:L,5,0)</f>
        <v>0</v>
      </c>
      <c r="K145" s="1" t="s">
        <v>14</v>
      </c>
      <c r="L145">
        <f>VLOOKUP(B145,'Small Pricelist'!A:L,6,0)</f>
        <v>0</v>
      </c>
      <c r="M145" s="1" t="s">
        <v>14</v>
      </c>
      <c r="N145">
        <f>VLOOKUP(B145,'Small Pricelist'!A:L,7,0)</f>
        <v>0</v>
      </c>
      <c r="O145" s="1" t="s">
        <v>14</v>
      </c>
      <c r="P145">
        <f>VLOOKUP(B145,'Small Pricelist'!A:L,8,0)</f>
        <v>1468.08</v>
      </c>
      <c r="Q145" s="1" t="s">
        <v>14</v>
      </c>
      <c r="R145">
        <f>VLOOKUP(B145,'Small Pricelist'!A:L,9,0)</f>
        <v>331.92000000000007</v>
      </c>
      <c r="S145" s="1" t="s">
        <v>14</v>
      </c>
      <c r="T145">
        <f>VLOOKUP(B145,'Small Pricelist'!A:L,10,0)</f>
        <v>82.980000000000018</v>
      </c>
      <c r="U145" s="1" t="s">
        <v>14</v>
      </c>
      <c r="V145">
        <f>VLOOKUP(B145,'Small Pricelist'!A:L,11,0)</f>
        <v>22.609122118685637</v>
      </c>
      <c r="W145" s="1" t="s">
        <v>14</v>
      </c>
      <c r="X145">
        <f>VLOOKUP(B145,'Small Pricelist'!A:L,12,0)</f>
        <v>5872.3200000000033</v>
      </c>
      <c r="Y145" s="1" t="s">
        <v>12</v>
      </c>
      <c r="Z145" s="25" t="str">
        <f t="shared" si="2"/>
        <v>&lt;tr&gt; &lt;td&gt;7420222&lt;/td&gt;&lt;td&gt;HY SERVO PETROL EO SN PLUS-4 X 4 L&lt;/td&gt;&lt;td&gt;1800&lt;/td&gt;&lt;td&gt;1468.08&lt;/td&gt;&lt;td&gt;0&lt;/td&gt;&lt;td&gt;0&lt;/td&gt;&lt;td&gt;0&lt;/td&gt;&lt;td&gt;1468.08&lt;/td&gt;&lt;td&gt;331.92&lt;/td&gt;&lt;td&gt;82.98&lt;/td&gt;&lt;td&gt;22.6091221186856&lt;/td&gt;&lt;td&gt;5872.32&lt;/td&gt;&lt;/tr&gt;</v>
      </c>
    </row>
    <row r="146" spans="1:26" x14ac:dyDescent="0.3">
      <c r="A146" s="1" t="s">
        <v>13</v>
      </c>
      <c r="B146">
        <f>'Small Pricelist'!A145</f>
        <v>7421234</v>
      </c>
      <c r="C146" s="1" t="s">
        <v>14</v>
      </c>
      <c r="D146" t="str">
        <f>VLOOKUP(B146,'Small Pricelist'!A:L,2,0)</f>
        <v>HYUNDAI SERVO DEO ACEA C5-4 X 5 L</v>
      </c>
      <c r="E146" s="1" t="s">
        <v>14</v>
      </c>
      <c r="F146">
        <f>VLOOKUP(B146,'Small Pricelist'!A:L,3,0)</f>
        <v>2400</v>
      </c>
      <c r="G146" s="1" t="s">
        <v>14</v>
      </c>
      <c r="H146">
        <f>VLOOKUP(B146,'Small Pricelist'!A:L,4,0)</f>
        <v>1974.9600000000003</v>
      </c>
      <c r="I146" s="1" t="s">
        <v>14</v>
      </c>
      <c r="J146">
        <f>VLOOKUP(B146,'Small Pricelist'!A:L,5,0)</f>
        <v>0</v>
      </c>
      <c r="K146" s="1" t="s">
        <v>14</v>
      </c>
      <c r="L146">
        <f>VLOOKUP(B146,'Small Pricelist'!A:L,6,0)</f>
        <v>0</v>
      </c>
      <c r="M146" s="1" t="s">
        <v>14</v>
      </c>
      <c r="N146">
        <f>VLOOKUP(B146,'Small Pricelist'!A:L,7,0)</f>
        <v>0</v>
      </c>
      <c r="O146" s="1" t="s">
        <v>14</v>
      </c>
      <c r="P146">
        <f>VLOOKUP(B146,'Small Pricelist'!A:L,8,0)</f>
        <v>1974.9600000000003</v>
      </c>
      <c r="Q146" s="1" t="s">
        <v>14</v>
      </c>
      <c r="R146">
        <f>VLOOKUP(B146,'Small Pricelist'!A:L,9,0)</f>
        <v>425.03999999999974</v>
      </c>
      <c r="S146" s="1" t="s">
        <v>14</v>
      </c>
      <c r="T146">
        <f>VLOOKUP(B146,'Small Pricelist'!A:L,10,0)</f>
        <v>85.007999999999925</v>
      </c>
      <c r="U146" s="1" t="s">
        <v>14</v>
      </c>
      <c r="V146">
        <f>VLOOKUP(B146,'Small Pricelist'!A:L,11,0)</f>
        <v>21.521448535666529</v>
      </c>
      <c r="W146" s="1" t="s">
        <v>14</v>
      </c>
      <c r="X146">
        <f>VLOOKUP(B146,'Small Pricelist'!A:L,12,0)</f>
        <v>7899.8400000000065</v>
      </c>
      <c r="Y146" s="1" t="s">
        <v>12</v>
      </c>
      <c r="Z146" s="25" t="str">
        <f t="shared" si="2"/>
        <v>&lt;tr&gt; &lt;td&gt;7421234&lt;/td&gt;&lt;td&gt;HYUNDAI SERVO DEO ACEA C5-4 X 5 L&lt;/td&gt;&lt;td&gt;2400&lt;/td&gt;&lt;td&gt;1974.96&lt;/td&gt;&lt;td&gt;0&lt;/td&gt;&lt;td&gt;0&lt;/td&gt;&lt;td&gt;0&lt;/td&gt;&lt;td&gt;1974.96&lt;/td&gt;&lt;td&gt;425.04&lt;/td&gt;&lt;td&gt;85.0079999999999&lt;/td&gt;&lt;td&gt;21.5214485356665&lt;/td&gt;&lt;td&gt;7899.84000000001&lt;/td&gt;&lt;/tr&gt;</v>
      </c>
    </row>
    <row r="147" spans="1:26" x14ac:dyDescent="0.3">
      <c r="A147" s="1" t="s">
        <v>13</v>
      </c>
      <c r="B147">
        <f>'Small Pricelist'!A146</f>
        <v>7427213</v>
      </c>
      <c r="C147" s="1" t="s">
        <v>14</v>
      </c>
      <c r="D147" t="str">
        <f>VLOOKUP(B147,'Small Pricelist'!A:L,2,0)</f>
        <v>ECSTAR PETROL 0W-20-4 X 3.5 L</v>
      </c>
      <c r="E147" s="1" t="s">
        <v>14</v>
      </c>
      <c r="F147">
        <f>VLOOKUP(B147,'Small Pricelist'!A:L,3,0)</f>
        <v>1614</v>
      </c>
      <c r="G147" s="1" t="s">
        <v>14</v>
      </c>
      <c r="H147">
        <f>VLOOKUP(B147,'Small Pricelist'!A:L,4,0)</f>
        <v>1415.8008</v>
      </c>
      <c r="I147" s="1" t="s">
        <v>14</v>
      </c>
      <c r="J147">
        <f>VLOOKUP(B147,'Small Pricelist'!A:L,5,0)</f>
        <v>29</v>
      </c>
      <c r="K147" s="1" t="s">
        <v>14</v>
      </c>
      <c r="L147">
        <f>VLOOKUP(B147,'Small Pricelist'!A:L,6,0)</f>
        <v>0</v>
      </c>
      <c r="M147" s="1" t="s">
        <v>14</v>
      </c>
      <c r="N147">
        <f>VLOOKUP(B147,'Small Pricelist'!A:L,7,0)</f>
        <v>0</v>
      </c>
      <c r="O147" s="1" t="s">
        <v>14</v>
      </c>
      <c r="P147">
        <f>VLOOKUP(B147,'Small Pricelist'!A:L,8,0)</f>
        <v>1296.0308</v>
      </c>
      <c r="Q147" s="1" t="s">
        <v>14</v>
      </c>
      <c r="R147">
        <f>VLOOKUP(B147,'Small Pricelist'!A:L,9,0)</f>
        <v>317.9692</v>
      </c>
      <c r="S147" s="1" t="s">
        <v>14</v>
      </c>
      <c r="T147">
        <f>VLOOKUP(B147,'Small Pricelist'!A:L,10,0)</f>
        <v>90.848342857142882</v>
      </c>
      <c r="U147" s="1" t="s">
        <v>14</v>
      </c>
      <c r="V147">
        <f>VLOOKUP(B147,'Small Pricelist'!A:L,11,0)</f>
        <v>24.534077430875872</v>
      </c>
      <c r="W147" s="1" t="s">
        <v>14</v>
      </c>
      <c r="X147">
        <f>VLOOKUP(B147,'Small Pricelist'!A:L,12,0)</f>
        <v>5184.1232000000009</v>
      </c>
      <c r="Y147" s="1" t="s">
        <v>12</v>
      </c>
      <c r="Z147" s="25" t="str">
        <f t="shared" si="2"/>
        <v>&lt;tr&gt; &lt;td&gt;7427213&lt;/td&gt;&lt;td&gt;ECSTAR PETROL 0W-20-4 X 3.5 L&lt;/td&gt;&lt;td&gt;1614&lt;/td&gt;&lt;td&gt;1415.8008&lt;/td&gt;&lt;td&gt;29&lt;/td&gt;&lt;td&gt;0&lt;/td&gt;&lt;td&gt;0&lt;/td&gt;&lt;td&gt;1296.0308&lt;/td&gt;&lt;td&gt;317.9692&lt;/td&gt;&lt;td&gt;90.8483428571429&lt;/td&gt;&lt;td&gt;24.5340774308759&lt;/td&gt;&lt;td&gt;5184.1232&lt;/td&gt;&lt;/tr&gt;</v>
      </c>
    </row>
    <row r="148" spans="1:26" x14ac:dyDescent="0.3">
      <c r="A148" s="1" t="s">
        <v>13</v>
      </c>
      <c r="B148">
        <f>'Small Pricelist'!A147</f>
        <v>7428213</v>
      </c>
      <c r="C148" s="1" t="s">
        <v>14</v>
      </c>
      <c r="D148" t="str">
        <f>VLOOKUP(B148,'Small Pricelist'!A:L,2,0)</f>
        <v>ECSTAR DIESEL 5W-30-4 X 3.5 L</v>
      </c>
      <c r="E148" s="1" t="s">
        <v>14</v>
      </c>
      <c r="F148">
        <f>VLOOKUP(B148,'Small Pricelist'!A:L,3,0)</f>
        <v>2167</v>
      </c>
      <c r="G148" s="1" t="s">
        <v>14</v>
      </c>
      <c r="H148">
        <f>VLOOKUP(B148,'Small Pricelist'!A:L,4,0)</f>
        <v>1749.6357999999998</v>
      </c>
      <c r="I148" s="1" t="s">
        <v>14</v>
      </c>
      <c r="J148">
        <f>VLOOKUP(B148,'Small Pricelist'!A:L,5,0)</f>
        <v>19</v>
      </c>
      <c r="K148" s="1" t="s">
        <v>14</v>
      </c>
      <c r="L148">
        <f>VLOOKUP(B148,'Small Pricelist'!A:L,6,0)</f>
        <v>0</v>
      </c>
      <c r="M148" s="1" t="s">
        <v>14</v>
      </c>
      <c r="N148">
        <f>VLOOKUP(B148,'Small Pricelist'!A:L,7,0)</f>
        <v>0</v>
      </c>
      <c r="O148" s="1" t="s">
        <v>14</v>
      </c>
      <c r="P148">
        <f>VLOOKUP(B148,'Small Pricelist'!A:L,8,0)</f>
        <v>1671.1657999999998</v>
      </c>
      <c r="Q148" s="1" t="s">
        <v>14</v>
      </c>
      <c r="R148">
        <f>VLOOKUP(B148,'Small Pricelist'!A:L,9,0)</f>
        <v>495.83420000000024</v>
      </c>
      <c r="S148" s="1" t="s">
        <v>14</v>
      </c>
      <c r="T148">
        <f>VLOOKUP(B148,'Small Pricelist'!A:L,10,0)</f>
        <v>141.66691428571431</v>
      </c>
      <c r="U148" s="1" t="s">
        <v>14</v>
      </c>
      <c r="V148">
        <f>VLOOKUP(B148,'Small Pricelist'!A:L,11,0)</f>
        <v>29.669958540319598</v>
      </c>
      <c r="W148" s="1" t="s">
        <v>14</v>
      </c>
      <c r="X148">
        <f>VLOOKUP(B148,'Small Pricelist'!A:L,12,0)</f>
        <v>6684.6632000000009</v>
      </c>
      <c r="Y148" s="1" t="s">
        <v>12</v>
      </c>
      <c r="Z148" s="25" t="str">
        <f t="shared" si="2"/>
        <v>&lt;tr&gt; &lt;td&gt;7428213&lt;/td&gt;&lt;td&gt;ECSTAR DIESEL 5W-30-4 X 3.5 L&lt;/td&gt;&lt;td&gt;2167&lt;/td&gt;&lt;td&gt;1749.6358&lt;/td&gt;&lt;td&gt;19&lt;/td&gt;&lt;td&gt;0&lt;/td&gt;&lt;td&gt;0&lt;/td&gt;&lt;td&gt;1671.1658&lt;/td&gt;&lt;td&gt;495.8342&lt;/td&gt;&lt;td&gt;141.666914285714&lt;/td&gt;&lt;td&gt;29.6699585403196&lt;/td&gt;&lt;td&gt;6684.6632&lt;/td&gt;&lt;/tr&gt;</v>
      </c>
    </row>
    <row r="149" spans="1:26" x14ac:dyDescent="0.3">
      <c r="A149" s="1" t="s">
        <v>13</v>
      </c>
      <c r="B149">
        <f>'Small Pricelist'!A148</f>
        <v>7429184</v>
      </c>
      <c r="C149" s="1" t="s">
        <v>14</v>
      </c>
      <c r="D149" t="str">
        <f>VLOOKUP(B149,'Small Pricelist'!A:L,2,0)</f>
        <v>SERVO SUPERMILE 10W-30-20 X 1 L</v>
      </c>
      <c r="E149" s="1" t="s">
        <v>14</v>
      </c>
      <c r="F149">
        <f>VLOOKUP(B149,'Small Pricelist'!A:L,3,0)</f>
        <v>460</v>
      </c>
      <c r="G149" s="1" t="s">
        <v>14</v>
      </c>
      <c r="H149">
        <f>VLOOKUP(B149,'Small Pricelist'!A:L,4,0)</f>
        <v>322.55200000000002</v>
      </c>
      <c r="I149" s="1" t="s">
        <v>14</v>
      </c>
      <c r="J149">
        <f>VLOOKUP(B149,'Small Pricelist'!A:L,5,0)</f>
        <v>9</v>
      </c>
      <c r="K149" s="1" t="s">
        <v>14</v>
      </c>
      <c r="L149">
        <f>VLOOKUP(B149,'Small Pricelist'!A:L,6,0)</f>
        <v>0</v>
      </c>
      <c r="M149" s="1" t="s">
        <v>14</v>
      </c>
      <c r="N149">
        <f>VLOOKUP(B149,'Small Pricelist'!A:L,7,0)</f>
        <v>0</v>
      </c>
      <c r="O149" s="1" t="s">
        <v>14</v>
      </c>
      <c r="P149">
        <f>VLOOKUP(B149,'Small Pricelist'!A:L,8,0)</f>
        <v>311.93200000000002</v>
      </c>
      <c r="Q149" s="1" t="s">
        <v>14</v>
      </c>
      <c r="R149">
        <f>VLOOKUP(B149,'Small Pricelist'!A:L,9,0)</f>
        <v>148.06799999999998</v>
      </c>
      <c r="S149" s="1" t="s">
        <v>14</v>
      </c>
      <c r="T149">
        <f>VLOOKUP(B149,'Small Pricelist'!A:L,10,0)</f>
        <v>148.06799999999998</v>
      </c>
      <c r="U149" s="1" t="s">
        <v>14</v>
      </c>
      <c r="V149">
        <f>VLOOKUP(B149,'Small Pricelist'!A:L,11,0)</f>
        <v>47.468037905697386</v>
      </c>
      <c r="W149" s="1" t="s">
        <v>14</v>
      </c>
      <c r="X149">
        <f>VLOOKUP(B149,'Small Pricelist'!A:L,12,0)</f>
        <v>6238.6400000000049</v>
      </c>
      <c r="Y149" s="1" t="s">
        <v>12</v>
      </c>
      <c r="Z149" s="25" t="str">
        <f t="shared" si="2"/>
        <v>&lt;tr&gt; &lt;td&gt;7429184&lt;/td&gt;&lt;td&gt;SERVO SUPERMILE 10W-30-20 X 1 L&lt;/td&gt;&lt;td&gt;460&lt;/td&gt;&lt;td&gt;322.552&lt;/td&gt;&lt;td&gt;9&lt;/td&gt;&lt;td&gt;0&lt;/td&gt;&lt;td&gt;0&lt;/td&gt;&lt;td&gt;311.932&lt;/td&gt;&lt;td&gt;148.068&lt;/td&gt;&lt;td&gt;148.068&lt;/td&gt;&lt;td&gt;47.4680379056974&lt;/td&gt;&lt;td&gt;6238.64&lt;/td&gt;&lt;/tr&gt;</v>
      </c>
    </row>
    <row r="150" spans="1:26" x14ac:dyDescent="0.3">
      <c r="A150" s="1" t="s">
        <v>13</v>
      </c>
      <c r="B150">
        <f>'Small Pricelist'!A149</f>
        <v>7429240</v>
      </c>
      <c r="C150" s="1" t="s">
        <v>14</v>
      </c>
      <c r="D150" t="str">
        <f>VLOOKUP(B150,'Small Pricelist'!A:L,2,0)</f>
        <v>SERVO SUPERMILE 10W-30-4 X 5 L PROMO</v>
      </c>
      <c r="E150" s="1" t="s">
        <v>14</v>
      </c>
      <c r="F150">
        <f>VLOOKUP(B150,'Small Pricelist'!A:L,3,0)</f>
        <v>2300</v>
      </c>
      <c r="G150" s="1" t="s">
        <v>14</v>
      </c>
      <c r="H150">
        <f>VLOOKUP(B150,'Small Pricelist'!A:L,4,0)</f>
        <v>1610.69</v>
      </c>
      <c r="I150" s="1" t="s">
        <v>14</v>
      </c>
      <c r="J150">
        <f>VLOOKUP(B150,'Small Pricelist'!A:L,5,0)</f>
        <v>9</v>
      </c>
      <c r="K150" s="1" t="s">
        <v>14</v>
      </c>
      <c r="L150">
        <f>VLOOKUP(B150,'Small Pricelist'!A:L,6,0)</f>
        <v>0</v>
      </c>
      <c r="M150" s="1" t="s">
        <v>14</v>
      </c>
      <c r="N150">
        <f>VLOOKUP(B150,'Small Pricelist'!A:L,7,0)</f>
        <v>0</v>
      </c>
      <c r="O150" s="1" t="s">
        <v>14</v>
      </c>
      <c r="P150">
        <f>VLOOKUP(B150,'Small Pricelist'!A:L,8,0)</f>
        <v>1557.5900000000001</v>
      </c>
      <c r="Q150" s="1" t="s">
        <v>14</v>
      </c>
      <c r="R150">
        <f>VLOOKUP(B150,'Small Pricelist'!A:L,9,0)</f>
        <v>742.40999999999985</v>
      </c>
      <c r="S150" s="1" t="s">
        <v>14</v>
      </c>
      <c r="T150">
        <f>VLOOKUP(B150,'Small Pricelist'!A:L,10,0)</f>
        <v>148.48199999999997</v>
      </c>
      <c r="U150" s="1" t="s">
        <v>14</v>
      </c>
      <c r="V150">
        <f>VLOOKUP(B150,'Small Pricelist'!A:L,11,0)</f>
        <v>47.664019414608447</v>
      </c>
      <c r="W150" s="1" t="s">
        <v>14</v>
      </c>
      <c r="X150">
        <f>VLOOKUP(B150,'Small Pricelist'!A:L,12,0)</f>
        <v>6230.3600000000006</v>
      </c>
      <c r="Y150" s="1" t="s">
        <v>12</v>
      </c>
      <c r="Z150" s="25" t="str">
        <f t="shared" si="2"/>
        <v>&lt;tr&gt; &lt;td&gt;7429240&lt;/td&gt;&lt;td&gt;SERVO SUPERMILE 10W-30-4 X 5 L PROMO&lt;/td&gt;&lt;td&gt;2300&lt;/td&gt;&lt;td&gt;1610.69&lt;/td&gt;&lt;td&gt;9&lt;/td&gt;&lt;td&gt;0&lt;/td&gt;&lt;td&gt;0&lt;/td&gt;&lt;td&gt;1557.59&lt;/td&gt;&lt;td&gt;742.41&lt;/td&gt;&lt;td&gt;148.482&lt;/td&gt;&lt;td&gt;47.6640194146084&lt;/td&gt;&lt;td&gt;6230.36&lt;/td&gt;&lt;/tr&gt;</v>
      </c>
    </row>
    <row r="151" spans="1:26" x14ac:dyDescent="0.3">
      <c r="A151" s="1" t="s">
        <v>13</v>
      </c>
      <c r="B151">
        <f>'Small Pricelist'!A150</f>
        <v>7429244</v>
      </c>
      <c r="C151" s="1" t="s">
        <v>14</v>
      </c>
      <c r="D151" t="str">
        <f>VLOOKUP(B151,'Small Pricelist'!A:L,2,0)</f>
        <v>SERVO SUPERMILE 10W-30-4 X 6 L</v>
      </c>
      <c r="E151" s="1" t="s">
        <v>14</v>
      </c>
      <c r="F151">
        <f>VLOOKUP(B151,'Small Pricelist'!A:L,3,0)</f>
        <v>2560</v>
      </c>
      <c r="G151" s="1" t="s">
        <v>14</v>
      </c>
      <c r="H151">
        <f>VLOOKUP(B151,'Small Pricelist'!A:L,4,0)</f>
        <v>1853.184</v>
      </c>
      <c r="I151" s="1" t="s">
        <v>14</v>
      </c>
      <c r="J151">
        <f>VLOOKUP(B151,'Small Pricelist'!A:L,5,0)</f>
        <v>9</v>
      </c>
      <c r="K151" s="1" t="s">
        <v>14</v>
      </c>
      <c r="L151">
        <f>VLOOKUP(B151,'Small Pricelist'!A:L,6,0)</f>
        <v>0</v>
      </c>
      <c r="M151" s="1" t="s">
        <v>14</v>
      </c>
      <c r="N151">
        <f>VLOOKUP(B151,'Small Pricelist'!A:L,7,0)</f>
        <v>0</v>
      </c>
      <c r="O151" s="1" t="s">
        <v>14</v>
      </c>
      <c r="P151">
        <f>VLOOKUP(B151,'Small Pricelist'!A:L,8,0)</f>
        <v>1789.4639999999999</v>
      </c>
      <c r="Q151" s="1" t="s">
        <v>14</v>
      </c>
      <c r="R151">
        <f>VLOOKUP(B151,'Small Pricelist'!A:L,9,0)</f>
        <v>770.53600000000006</v>
      </c>
      <c r="S151" s="1" t="s">
        <v>14</v>
      </c>
      <c r="T151">
        <f>VLOOKUP(B151,'Small Pricelist'!A:L,10,0)</f>
        <v>128.42266666666671</v>
      </c>
      <c r="U151" s="1" t="s">
        <v>14</v>
      </c>
      <c r="V151">
        <f>VLOOKUP(B151,'Small Pricelist'!A:L,11,0)</f>
        <v>43.059597734293625</v>
      </c>
      <c r="W151" s="1" t="s">
        <v>14</v>
      </c>
      <c r="X151">
        <f>VLOOKUP(B151,'Small Pricelist'!A:L,12,0)</f>
        <v>7157.8559999999998</v>
      </c>
      <c r="Y151" s="1" t="s">
        <v>12</v>
      </c>
      <c r="Z151" s="25" t="str">
        <f t="shared" si="2"/>
        <v>&lt;tr&gt; &lt;td&gt;7429244&lt;/td&gt;&lt;td&gt;SERVO SUPERMILE 10W-30-4 X 6 L&lt;/td&gt;&lt;td&gt;2560&lt;/td&gt;&lt;td&gt;1853.184&lt;/td&gt;&lt;td&gt;9&lt;/td&gt;&lt;td&gt;0&lt;/td&gt;&lt;td&gt;0&lt;/td&gt;&lt;td&gt;1789.464&lt;/td&gt;&lt;td&gt;770.536&lt;/td&gt;&lt;td&gt;128.422666666667&lt;/td&gt;&lt;td&gt;43.0595977342936&lt;/td&gt;&lt;td&gt;7157.856&lt;/td&gt;&lt;/tr&gt;</v>
      </c>
    </row>
    <row r="152" spans="1:26" x14ac:dyDescent="0.3">
      <c r="A152" s="1" t="s">
        <v>13</v>
      </c>
      <c r="B152">
        <f>'Small Pricelist'!A151</f>
        <v>7429297</v>
      </c>
      <c r="C152" s="1" t="s">
        <v>14</v>
      </c>
      <c r="D152" t="str">
        <f>VLOOKUP(B152,'Small Pricelist'!A:L,2,0)</f>
        <v>SERVO SUPERMILE 10W-30-7 L PROMO</v>
      </c>
      <c r="E152" s="1" t="s">
        <v>14</v>
      </c>
      <c r="F152">
        <f>VLOOKUP(B152,'Small Pricelist'!A:L,3,0)</f>
        <v>3120</v>
      </c>
      <c r="G152" s="1" t="s">
        <v>14</v>
      </c>
      <c r="H152">
        <f>VLOOKUP(B152,'Small Pricelist'!A:L,4,0)</f>
        <v>2230.8000000000002</v>
      </c>
      <c r="I152" s="1" t="s">
        <v>14</v>
      </c>
      <c r="J152">
        <f>VLOOKUP(B152,'Small Pricelist'!A:L,5,0)</f>
        <v>11</v>
      </c>
      <c r="K152" s="1" t="s">
        <v>14</v>
      </c>
      <c r="L152">
        <f>VLOOKUP(B152,'Small Pricelist'!A:L,6,0)</f>
        <v>0</v>
      </c>
      <c r="M152" s="1" t="s">
        <v>14</v>
      </c>
      <c r="N152">
        <f>VLOOKUP(B152,'Small Pricelist'!A:L,7,0)</f>
        <v>0</v>
      </c>
      <c r="O152" s="1" t="s">
        <v>14</v>
      </c>
      <c r="P152">
        <f>VLOOKUP(B152,'Small Pricelist'!A:L,8,0)</f>
        <v>2139.94</v>
      </c>
      <c r="Q152" s="1" t="s">
        <v>14</v>
      </c>
      <c r="R152">
        <f>VLOOKUP(B152,'Small Pricelist'!A:L,9,0)</f>
        <v>980.06</v>
      </c>
      <c r="S152" s="1" t="s">
        <v>14</v>
      </c>
      <c r="T152">
        <f>VLOOKUP(B152,'Small Pricelist'!A:L,10,0)</f>
        <v>140.00857142857143</v>
      </c>
      <c r="U152" s="1" t="s">
        <v>14</v>
      </c>
      <c r="V152">
        <f>VLOOKUP(B152,'Small Pricelist'!A:L,11,0)</f>
        <v>45.798480331224233</v>
      </c>
      <c r="W152" s="1" t="s">
        <v>14</v>
      </c>
      <c r="X152">
        <f>VLOOKUP(B152,'Small Pricelist'!A:L,12,0)</f>
        <v>2139.94</v>
      </c>
      <c r="Y152" s="1" t="s">
        <v>12</v>
      </c>
      <c r="Z152" s="25" t="str">
        <f t="shared" si="2"/>
        <v>&lt;tr&gt; &lt;td&gt;7429297&lt;/td&gt;&lt;td&gt;SERVO SUPERMILE 10W-30-7 L PROMO&lt;/td&gt;&lt;td&gt;3120&lt;/td&gt;&lt;td&gt;2230.8&lt;/td&gt;&lt;td&gt;11&lt;/td&gt;&lt;td&gt;0&lt;/td&gt;&lt;td&gt;0&lt;/td&gt;&lt;td&gt;2139.94&lt;/td&gt;&lt;td&gt;980.06&lt;/td&gt;&lt;td&gt;140.008571428571&lt;/td&gt;&lt;td&gt;45.7984803312242&lt;/td&gt;&lt;td&gt;2139.94&lt;/td&gt;&lt;/tr&gt;</v>
      </c>
    </row>
    <row r="153" spans="1:26" x14ac:dyDescent="0.3">
      <c r="A153" s="1" t="s">
        <v>13</v>
      </c>
      <c r="B153">
        <f>'Small Pricelist'!A152</f>
        <v>7430184</v>
      </c>
      <c r="C153" s="1" t="s">
        <v>14</v>
      </c>
      <c r="D153" t="str">
        <f>VLOOKUP(B153,'Small Pricelist'!A:L,2,0)</f>
        <v>SERVO SUPERMILE PLUS 5W-30-20 X 1 L</v>
      </c>
      <c r="E153" s="1" t="s">
        <v>14</v>
      </c>
      <c r="F153">
        <f>VLOOKUP(B153,'Small Pricelist'!A:L,3,0)</f>
        <v>485</v>
      </c>
      <c r="G153" s="1" t="s">
        <v>14</v>
      </c>
      <c r="H153">
        <f>VLOOKUP(B153,'Small Pricelist'!A:L,4,0)</f>
        <v>347.745</v>
      </c>
      <c r="I153" s="1" t="s">
        <v>14</v>
      </c>
      <c r="J153">
        <f>VLOOKUP(B153,'Small Pricelist'!A:L,5,0)</f>
        <v>19</v>
      </c>
      <c r="K153" s="1" t="s">
        <v>14</v>
      </c>
      <c r="L153">
        <f>VLOOKUP(B153,'Small Pricelist'!A:L,6,0)</f>
        <v>0</v>
      </c>
      <c r="M153" s="1" t="s">
        <v>14</v>
      </c>
      <c r="N153">
        <f>VLOOKUP(B153,'Small Pricelist'!A:L,7,0)</f>
        <v>0</v>
      </c>
      <c r="O153" s="1" t="s">
        <v>14</v>
      </c>
      <c r="P153">
        <f>VLOOKUP(B153,'Small Pricelist'!A:L,8,0)</f>
        <v>325.32500000000005</v>
      </c>
      <c r="Q153" s="1" t="s">
        <v>14</v>
      </c>
      <c r="R153">
        <f>VLOOKUP(B153,'Small Pricelist'!A:L,9,0)</f>
        <v>159.67499999999995</v>
      </c>
      <c r="S153" s="1" t="s">
        <v>14</v>
      </c>
      <c r="T153">
        <f>VLOOKUP(B153,'Small Pricelist'!A:L,10,0)</f>
        <v>159.67499999999995</v>
      </c>
      <c r="U153" s="1" t="s">
        <v>14</v>
      </c>
      <c r="V153">
        <f>VLOOKUP(B153,'Small Pricelist'!A:L,11,0)</f>
        <v>49.081687543225982</v>
      </c>
      <c r="W153" s="1" t="s">
        <v>14</v>
      </c>
      <c r="X153">
        <f>VLOOKUP(B153,'Small Pricelist'!A:L,12,0)</f>
        <v>6506.5000000000055</v>
      </c>
      <c r="Y153" s="1" t="s">
        <v>12</v>
      </c>
      <c r="Z153" s="25" t="str">
        <f t="shared" si="2"/>
        <v>&lt;tr&gt; &lt;td&gt;7430184&lt;/td&gt;&lt;td&gt;SERVO SUPERMILE PLUS 5W-30-20 X 1 L&lt;/td&gt;&lt;td&gt;485&lt;/td&gt;&lt;td&gt;347.745&lt;/td&gt;&lt;td&gt;19&lt;/td&gt;&lt;td&gt;0&lt;/td&gt;&lt;td&gt;0&lt;/td&gt;&lt;td&gt;325.325&lt;/td&gt;&lt;td&gt;159.675&lt;/td&gt;&lt;td&gt;159.675&lt;/td&gt;&lt;td&gt;49.081687543226&lt;/td&gt;&lt;td&gt;6506.50000000001&lt;/td&gt;&lt;/tr&gt;</v>
      </c>
    </row>
    <row r="154" spans="1:26" x14ac:dyDescent="0.3">
      <c r="A154" s="1" t="s">
        <v>13</v>
      </c>
      <c r="B154">
        <f>'Small Pricelist'!A153</f>
        <v>7430234</v>
      </c>
      <c r="C154" s="1" t="s">
        <v>14</v>
      </c>
      <c r="D154" t="str">
        <f>VLOOKUP(B154,'Small Pricelist'!A:L,2,0)</f>
        <v>SERVO SUPERMILE PLUS 5W-30-4 X 5 L</v>
      </c>
      <c r="E154" s="1" t="s">
        <v>14</v>
      </c>
      <c r="F154">
        <f>VLOOKUP(B154,'Small Pricelist'!A:L,3,0)</f>
        <v>2400</v>
      </c>
      <c r="G154" s="1" t="s">
        <v>14</v>
      </c>
      <c r="H154">
        <f>VLOOKUP(B154,'Small Pricelist'!A:L,4,0)</f>
        <v>1728.72</v>
      </c>
      <c r="I154" s="1" t="s">
        <v>14</v>
      </c>
      <c r="J154">
        <f>VLOOKUP(B154,'Small Pricelist'!A:L,5,0)</f>
        <v>24</v>
      </c>
      <c r="K154" s="1" t="s">
        <v>14</v>
      </c>
      <c r="L154">
        <f>VLOOKUP(B154,'Small Pricelist'!A:L,6,0)</f>
        <v>0</v>
      </c>
      <c r="M154" s="1" t="s">
        <v>14</v>
      </c>
      <c r="N154">
        <f>VLOOKUP(B154,'Small Pricelist'!A:L,7,0)</f>
        <v>0</v>
      </c>
      <c r="O154" s="1" t="s">
        <v>14</v>
      </c>
      <c r="P154">
        <f>VLOOKUP(B154,'Small Pricelist'!A:L,8,0)</f>
        <v>1587.1200000000001</v>
      </c>
      <c r="Q154" s="1" t="s">
        <v>14</v>
      </c>
      <c r="R154">
        <f>VLOOKUP(B154,'Small Pricelist'!A:L,9,0)</f>
        <v>812.87999999999988</v>
      </c>
      <c r="S154" s="1" t="s">
        <v>14</v>
      </c>
      <c r="T154">
        <f>VLOOKUP(B154,'Small Pricelist'!A:L,10,0)</f>
        <v>162.57599999999996</v>
      </c>
      <c r="U154" s="1" t="s">
        <v>14</v>
      </c>
      <c r="V154">
        <f>VLOOKUP(B154,'Small Pricelist'!A:L,11,0)</f>
        <v>51.217299259035222</v>
      </c>
      <c r="W154" s="1" t="s">
        <v>14</v>
      </c>
      <c r="X154">
        <f>VLOOKUP(B154,'Small Pricelist'!A:L,12,0)</f>
        <v>6348.480000000005</v>
      </c>
      <c r="Y154" s="1" t="s">
        <v>12</v>
      </c>
      <c r="Z154" s="25" t="str">
        <f t="shared" si="2"/>
        <v>&lt;tr&gt; &lt;td&gt;7430234&lt;/td&gt;&lt;td&gt;SERVO SUPERMILE PLUS 5W-30-4 X 5 L&lt;/td&gt;&lt;td&gt;2400&lt;/td&gt;&lt;td&gt;1728.72&lt;/td&gt;&lt;td&gt;24&lt;/td&gt;&lt;td&gt;0&lt;/td&gt;&lt;td&gt;0&lt;/td&gt;&lt;td&gt;1587.12&lt;/td&gt;&lt;td&gt;812.88&lt;/td&gt;&lt;td&gt;162.576&lt;/td&gt;&lt;td&gt;51.2172992590352&lt;/td&gt;&lt;td&gt;6348.48000000001&lt;/td&gt;&lt;/tr&gt;</v>
      </c>
    </row>
    <row r="155" spans="1:26" x14ac:dyDescent="0.3">
      <c r="A155" s="1" t="s">
        <v>13</v>
      </c>
      <c r="B155">
        <f>'Small Pricelist'!A154</f>
        <v>7430240</v>
      </c>
      <c r="C155" s="1" t="s">
        <v>14</v>
      </c>
      <c r="D155" t="str">
        <f>VLOOKUP(B155,'Small Pricelist'!A:L,2,0)</f>
        <v>SERVO SUPERMILE PLUS 5W-30-4 X 5 L PROMO</v>
      </c>
      <c r="E155" s="1" t="s">
        <v>14</v>
      </c>
      <c r="F155">
        <f>VLOOKUP(B155,'Small Pricelist'!A:L,3,0)</f>
        <v>2400</v>
      </c>
      <c r="G155" s="1" t="s">
        <v>14</v>
      </c>
      <c r="H155">
        <f>VLOOKUP(B155,'Small Pricelist'!A:L,4,0)</f>
        <v>1728.72</v>
      </c>
      <c r="I155" s="1" t="s">
        <v>14</v>
      </c>
      <c r="J155">
        <f>VLOOKUP(B155,'Small Pricelist'!A:L,5,0)</f>
        <v>24</v>
      </c>
      <c r="K155" s="1" t="s">
        <v>14</v>
      </c>
      <c r="L155">
        <f>VLOOKUP(B155,'Small Pricelist'!A:L,6,0)</f>
        <v>0</v>
      </c>
      <c r="M155" s="1" t="s">
        <v>14</v>
      </c>
      <c r="N155">
        <f>VLOOKUP(B155,'Small Pricelist'!A:L,7,0)</f>
        <v>0</v>
      </c>
      <c r="O155" s="1" t="s">
        <v>14</v>
      </c>
      <c r="P155">
        <f>VLOOKUP(B155,'Small Pricelist'!A:L,8,0)</f>
        <v>1587.1200000000001</v>
      </c>
      <c r="Q155" s="1" t="s">
        <v>14</v>
      </c>
      <c r="R155">
        <f>VLOOKUP(B155,'Small Pricelist'!A:L,9,0)</f>
        <v>812.87999999999988</v>
      </c>
      <c r="S155" s="1" t="s">
        <v>14</v>
      </c>
      <c r="T155">
        <f>VLOOKUP(B155,'Small Pricelist'!A:L,10,0)</f>
        <v>162.57599999999996</v>
      </c>
      <c r="U155" s="1" t="s">
        <v>14</v>
      </c>
      <c r="V155">
        <f>VLOOKUP(B155,'Small Pricelist'!A:L,11,0)</f>
        <v>51.217299259035222</v>
      </c>
      <c r="W155" s="1" t="s">
        <v>14</v>
      </c>
      <c r="X155">
        <f>VLOOKUP(B155,'Small Pricelist'!A:L,12,0)</f>
        <v>6348.4800000000005</v>
      </c>
      <c r="Y155" s="1" t="s">
        <v>12</v>
      </c>
      <c r="Z155" s="25" t="str">
        <f t="shared" si="2"/>
        <v>&lt;tr&gt; &lt;td&gt;7430240&lt;/td&gt;&lt;td&gt;SERVO SUPERMILE PLUS 5W-30-4 X 5 L PROMO&lt;/td&gt;&lt;td&gt;2400&lt;/td&gt;&lt;td&gt;1728.72&lt;/td&gt;&lt;td&gt;24&lt;/td&gt;&lt;td&gt;0&lt;/td&gt;&lt;td&gt;0&lt;/td&gt;&lt;td&gt;1587.12&lt;/td&gt;&lt;td&gt;812.88&lt;/td&gt;&lt;td&gt;162.576&lt;/td&gt;&lt;td&gt;51.2172992590352&lt;/td&gt;&lt;td&gt;6348.48&lt;/td&gt;&lt;/tr&gt;</v>
      </c>
    </row>
    <row r="156" spans="1:26" x14ac:dyDescent="0.3">
      <c r="A156" s="1" t="s">
        <v>13</v>
      </c>
      <c r="B156">
        <f>'Small Pricelist'!A155</f>
        <v>7430296</v>
      </c>
      <c r="C156" s="1" t="s">
        <v>14</v>
      </c>
      <c r="D156" t="str">
        <f>VLOOKUP(B156,'Small Pricelist'!A:L,2,0)</f>
        <v>SERVO SUPERMILE PLUS 5W-30-7L</v>
      </c>
      <c r="E156" s="1" t="s">
        <v>14</v>
      </c>
      <c r="F156">
        <f>VLOOKUP(B156,'Small Pricelist'!A:L,3,0)</f>
        <v>3320</v>
      </c>
      <c r="G156" s="1" t="s">
        <v>14</v>
      </c>
      <c r="H156">
        <f>VLOOKUP(B156,'Small Pricelist'!A:L,4,0)</f>
        <v>2382.1</v>
      </c>
      <c r="I156" s="1" t="s">
        <v>14</v>
      </c>
      <c r="J156">
        <f>VLOOKUP(B156,'Small Pricelist'!A:L,5,0)</f>
        <v>29</v>
      </c>
      <c r="K156" s="1" t="s">
        <v>14</v>
      </c>
      <c r="L156">
        <f>VLOOKUP(B156,'Small Pricelist'!A:L,6,0)</f>
        <v>0</v>
      </c>
      <c r="M156" s="1" t="s">
        <v>14</v>
      </c>
      <c r="N156">
        <f>VLOOKUP(B156,'Small Pricelist'!A:L,7,0)</f>
        <v>0</v>
      </c>
      <c r="O156" s="1" t="s">
        <v>14</v>
      </c>
      <c r="P156">
        <f>VLOOKUP(B156,'Small Pricelist'!A:L,8,0)</f>
        <v>2142.56</v>
      </c>
      <c r="Q156" s="1" t="s">
        <v>14</v>
      </c>
      <c r="R156">
        <f>VLOOKUP(B156,'Small Pricelist'!A:L,9,0)</f>
        <v>1177.44</v>
      </c>
      <c r="S156" s="1" t="s">
        <v>14</v>
      </c>
      <c r="T156">
        <f>VLOOKUP(B156,'Small Pricelist'!A:L,10,0)</f>
        <v>168.20571428571429</v>
      </c>
      <c r="U156" s="1" t="s">
        <v>14</v>
      </c>
      <c r="V156">
        <f>VLOOKUP(B156,'Small Pricelist'!A:L,11,0)</f>
        <v>54.954820401762383</v>
      </c>
      <c r="W156" s="1" t="s">
        <v>14</v>
      </c>
      <c r="X156">
        <f>VLOOKUP(B156,'Small Pricelist'!A:L,12,0)</f>
        <v>2142.56</v>
      </c>
      <c r="Y156" s="1" t="s">
        <v>12</v>
      </c>
      <c r="Z156" s="25" t="str">
        <f t="shared" si="2"/>
        <v>&lt;tr&gt; &lt;td&gt;7430296&lt;/td&gt;&lt;td&gt;SERVO SUPERMILE PLUS 5W-30-7L&lt;/td&gt;&lt;td&gt;3320&lt;/td&gt;&lt;td&gt;2382.1&lt;/td&gt;&lt;td&gt;29&lt;/td&gt;&lt;td&gt;0&lt;/td&gt;&lt;td&gt;0&lt;/td&gt;&lt;td&gt;2142.56&lt;/td&gt;&lt;td&gt;1177.44&lt;/td&gt;&lt;td&gt;168.205714285714&lt;/td&gt;&lt;td&gt;54.9548204017624&lt;/td&gt;&lt;td&gt;2142.56&lt;/td&gt;&lt;/tr&gt;</v>
      </c>
    </row>
    <row r="157" spans="1:26" x14ac:dyDescent="0.3">
      <c r="A157" s="1" t="s">
        <v>13</v>
      </c>
      <c r="B157">
        <f>'Small Pricelist'!A156</f>
        <v>7430297</v>
      </c>
      <c r="C157" s="1" t="s">
        <v>14</v>
      </c>
      <c r="D157" t="str">
        <f>VLOOKUP(B157,'Small Pricelist'!A:L,2,0)</f>
        <v>SERVO SUPERMILE PLUS 5W-30-7 L PROMO</v>
      </c>
      <c r="E157" s="1" t="s">
        <v>14</v>
      </c>
      <c r="F157">
        <f>VLOOKUP(B157,'Small Pricelist'!A:L,3,0)</f>
        <v>3320</v>
      </c>
      <c r="G157" s="1" t="s">
        <v>14</v>
      </c>
      <c r="H157">
        <f>VLOOKUP(B157,'Small Pricelist'!A:L,4,0)</f>
        <v>2382.1</v>
      </c>
      <c r="I157" s="1" t="s">
        <v>14</v>
      </c>
      <c r="J157">
        <f>VLOOKUP(B157,'Small Pricelist'!A:L,5,0)</f>
        <v>29</v>
      </c>
      <c r="K157" s="1" t="s">
        <v>14</v>
      </c>
      <c r="L157">
        <f>VLOOKUP(B157,'Small Pricelist'!A:L,6,0)</f>
        <v>0</v>
      </c>
      <c r="M157" s="1" t="s">
        <v>14</v>
      </c>
      <c r="N157">
        <f>VLOOKUP(B157,'Small Pricelist'!A:L,7,0)</f>
        <v>0</v>
      </c>
      <c r="O157" s="1" t="s">
        <v>14</v>
      </c>
      <c r="P157">
        <f>VLOOKUP(B157,'Small Pricelist'!A:L,8,0)</f>
        <v>2142.56</v>
      </c>
      <c r="Q157" s="1" t="s">
        <v>14</v>
      </c>
      <c r="R157">
        <f>VLOOKUP(B157,'Small Pricelist'!A:L,9,0)</f>
        <v>1177.44</v>
      </c>
      <c r="S157" s="1" t="s">
        <v>14</v>
      </c>
      <c r="T157">
        <f>VLOOKUP(B157,'Small Pricelist'!A:L,10,0)</f>
        <v>168.20571428571429</v>
      </c>
      <c r="U157" s="1" t="s">
        <v>14</v>
      </c>
      <c r="V157">
        <f>VLOOKUP(B157,'Small Pricelist'!A:L,11,0)</f>
        <v>54.954820401762383</v>
      </c>
      <c r="W157" s="1" t="s">
        <v>14</v>
      </c>
      <c r="X157">
        <f>VLOOKUP(B157,'Small Pricelist'!A:L,12,0)</f>
        <v>2142.56</v>
      </c>
      <c r="Y157" s="1" t="s">
        <v>12</v>
      </c>
      <c r="Z157" s="25" t="str">
        <f t="shared" si="2"/>
        <v>&lt;tr&gt; &lt;td&gt;7430297&lt;/td&gt;&lt;td&gt;SERVO SUPERMILE PLUS 5W-30-7 L PROMO&lt;/td&gt;&lt;td&gt;3320&lt;/td&gt;&lt;td&gt;2382.1&lt;/td&gt;&lt;td&gt;29&lt;/td&gt;&lt;td&gt;0&lt;/td&gt;&lt;td&gt;0&lt;/td&gt;&lt;td&gt;2142.56&lt;/td&gt;&lt;td&gt;1177.44&lt;/td&gt;&lt;td&gt;168.205714285714&lt;/td&gt;&lt;td&gt;54.9548204017624&lt;/td&gt;&lt;td&gt;2142.56&lt;/td&gt;&lt;/tr&gt;</v>
      </c>
    </row>
    <row r="158" spans="1:26" x14ac:dyDescent="0.3">
      <c r="A158" s="1" t="s">
        <v>13</v>
      </c>
      <c r="B158">
        <f>'Small Pricelist'!A157</f>
        <v>7434256</v>
      </c>
      <c r="C158" s="1" t="s">
        <v>14</v>
      </c>
      <c r="D158" t="str">
        <f>VLOOKUP(B158,'Small Pricelist'!A:L,2,0)</f>
        <v>SERVO PRIDE NXT CK4 10W-30-15 L</v>
      </c>
      <c r="E158" s="1" t="s">
        <v>14</v>
      </c>
      <c r="F158">
        <f>VLOOKUP(B158,'Small Pricelist'!A:L,3,0)</f>
        <v>6850</v>
      </c>
      <c r="G158" s="1" t="s">
        <v>14</v>
      </c>
      <c r="H158">
        <f>VLOOKUP(B158,'Small Pricelist'!A:L,4,0)</f>
        <v>5229.9749999999995</v>
      </c>
      <c r="I158" s="1" t="s">
        <v>14</v>
      </c>
      <c r="J158">
        <f>VLOOKUP(B158,'Small Pricelist'!A:L,5,0)</f>
        <v>39</v>
      </c>
      <c r="K158" s="1" t="s">
        <v>14</v>
      </c>
      <c r="L158">
        <f>VLOOKUP(B158,'Small Pricelist'!A:L,6,0)</f>
        <v>0</v>
      </c>
      <c r="M158" s="1" t="s">
        <v>14</v>
      </c>
      <c r="N158">
        <f>VLOOKUP(B158,'Small Pricelist'!A:L,7,0)</f>
        <v>0</v>
      </c>
      <c r="O158" s="1" t="s">
        <v>14</v>
      </c>
      <c r="P158">
        <f>VLOOKUP(B158,'Small Pricelist'!A:L,8,0)</f>
        <v>4539.6750000000002</v>
      </c>
      <c r="Q158" s="1" t="s">
        <v>14</v>
      </c>
      <c r="R158">
        <f>VLOOKUP(B158,'Small Pricelist'!A:L,9,0)</f>
        <v>2310.3249999999998</v>
      </c>
      <c r="S158" s="1" t="s">
        <v>14</v>
      </c>
      <c r="T158">
        <f>VLOOKUP(B158,'Small Pricelist'!A:L,10,0)</f>
        <v>154.02166666666665</v>
      </c>
      <c r="U158" s="1" t="s">
        <v>14</v>
      </c>
      <c r="V158">
        <f>VLOOKUP(B158,'Small Pricelist'!A:L,11,0)</f>
        <v>50.891858998716863</v>
      </c>
      <c r="W158" s="1" t="s">
        <v>14</v>
      </c>
      <c r="X158">
        <f>VLOOKUP(B158,'Small Pricelist'!A:L,12,0)</f>
        <v>4539.6750000000029</v>
      </c>
      <c r="Y158" s="1" t="s">
        <v>12</v>
      </c>
      <c r="Z158" s="25" t="str">
        <f t="shared" si="2"/>
        <v>&lt;tr&gt; &lt;td&gt;7434256&lt;/td&gt;&lt;td&gt;SERVO PRIDE NXT CK4 10W-30-15 L&lt;/td&gt;&lt;td&gt;6850&lt;/td&gt;&lt;td&gt;5229.975&lt;/td&gt;&lt;td&gt;39&lt;/td&gt;&lt;td&gt;0&lt;/td&gt;&lt;td&gt;0&lt;/td&gt;&lt;td&gt;4539.675&lt;/td&gt;&lt;td&gt;2310.325&lt;/td&gt;&lt;td&gt;154.021666666667&lt;/td&gt;&lt;td&gt;50.8918589987169&lt;/td&gt;&lt;td&gt;4539.675&lt;/td&gt;&lt;/tr&gt;</v>
      </c>
    </row>
    <row r="159" spans="1:26" x14ac:dyDescent="0.3">
      <c r="A159" s="1" t="s">
        <v>13</v>
      </c>
      <c r="B159">
        <f>'Small Pricelist'!A158</f>
        <v>7436184</v>
      </c>
      <c r="C159" s="1" t="s">
        <v>14</v>
      </c>
      <c r="D159" t="str">
        <f>VLOOKUP(B159,'Small Pricelist'!A:L,2,0)</f>
        <v>SERVO PRIDE NXT CK4 15W-40-20 X 1 L</v>
      </c>
      <c r="E159" s="1" t="s">
        <v>14</v>
      </c>
      <c r="F159">
        <f>VLOOKUP(B159,'Small Pricelist'!A:L,3,0)</f>
        <v>470</v>
      </c>
      <c r="G159" s="1" t="s">
        <v>14</v>
      </c>
      <c r="H159">
        <f>VLOOKUP(B159,'Small Pricelist'!A:L,4,0)</f>
        <v>359.26799999999997</v>
      </c>
      <c r="I159" s="1" t="s">
        <v>14</v>
      </c>
      <c r="J159">
        <f>VLOOKUP(B159,'Small Pricelist'!A:L,5,0)</f>
        <v>36</v>
      </c>
      <c r="K159" s="1" t="s">
        <v>14</v>
      </c>
      <c r="L159">
        <f>VLOOKUP(B159,'Small Pricelist'!A:L,6,0)</f>
        <v>0</v>
      </c>
      <c r="M159" s="1" t="s">
        <v>14</v>
      </c>
      <c r="N159">
        <f>VLOOKUP(B159,'Small Pricelist'!A:L,7,0)</f>
        <v>0</v>
      </c>
      <c r="O159" s="1" t="s">
        <v>14</v>
      </c>
      <c r="P159">
        <f>VLOOKUP(B159,'Small Pricelist'!A:L,8,0)</f>
        <v>316.78800000000001</v>
      </c>
      <c r="Q159" s="1" t="s">
        <v>14</v>
      </c>
      <c r="R159">
        <f>VLOOKUP(B159,'Small Pricelist'!A:L,9,0)</f>
        <v>153.21199999999999</v>
      </c>
      <c r="S159" s="1" t="s">
        <v>14</v>
      </c>
      <c r="T159">
        <f>VLOOKUP(B159,'Small Pricelist'!A:L,10,0)</f>
        <v>153.21199999999999</v>
      </c>
      <c r="U159" s="1" t="s">
        <v>14</v>
      </c>
      <c r="V159">
        <f>VLOOKUP(B159,'Small Pricelist'!A:L,11,0)</f>
        <v>48.364205714862926</v>
      </c>
      <c r="W159" s="1" t="s">
        <v>14</v>
      </c>
      <c r="X159">
        <f>VLOOKUP(B159,'Small Pricelist'!A:L,12,0)</f>
        <v>6335.7600000000048</v>
      </c>
      <c r="Y159" s="1" t="s">
        <v>12</v>
      </c>
      <c r="Z159" s="25" t="str">
        <f t="shared" si="2"/>
        <v>&lt;tr&gt; &lt;td&gt;7436184&lt;/td&gt;&lt;td&gt;SERVO PRIDE NXT CK4 15W-40-20 X 1 L&lt;/td&gt;&lt;td&gt;470&lt;/td&gt;&lt;td&gt;359.268&lt;/td&gt;&lt;td&gt;36&lt;/td&gt;&lt;td&gt;0&lt;/td&gt;&lt;td&gt;0&lt;/td&gt;&lt;td&gt;316.788&lt;/td&gt;&lt;td&gt;153.212&lt;/td&gt;&lt;td&gt;153.212&lt;/td&gt;&lt;td&gt;48.3642057148629&lt;/td&gt;&lt;td&gt;6335.76&lt;/td&gt;&lt;/tr&gt;</v>
      </c>
    </row>
    <row r="160" spans="1:26" x14ac:dyDescent="0.3">
      <c r="A160" s="1" t="s">
        <v>13</v>
      </c>
      <c r="B160">
        <f>'Small Pricelist'!A159</f>
        <v>7436229</v>
      </c>
      <c r="C160" s="1" t="s">
        <v>14</v>
      </c>
      <c r="D160" t="str">
        <f>VLOOKUP(B160,'Small Pricelist'!A:L,2,0)</f>
        <v>SERVO PRIDENXT 15W40-20 X 1 L PROMO</v>
      </c>
      <c r="E160" s="1" t="s">
        <v>14</v>
      </c>
      <c r="F160">
        <f>VLOOKUP(B160,'Small Pricelist'!A:L,3,0)</f>
        <v>470</v>
      </c>
      <c r="G160" s="1" t="s">
        <v>14</v>
      </c>
      <c r="H160">
        <f>VLOOKUP(B160,'Small Pricelist'!A:L,4,0)</f>
        <v>359.26799999999997</v>
      </c>
      <c r="I160" s="1" t="s">
        <v>14</v>
      </c>
      <c r="J160">
        <f>VLOOKUP(B160,'Small Pricelist'!A:L,5,0)</f>
        <v>28</v>
      </c>
      <c r="K160" s="1" t="s">
        <v>14</v>
      </c>
      <c r="L160">
        <f>VLOOKUP(B160,'Small Pricelist'!A:L,6,0)</f>
        <v>0</v>
      </c>
      <c r="M160" s="1" t="s">
        <v>14</v>
      </c>
      <c r="N160">
        <f>VLOOKUP(B160,'Small Pricelist'!A:L,7,0)</f>
        <v>0</v>
      </c>
      <c r="O160" s="1" t="s">
        <v>14</v>
      </c>
      <c r="P160">
        <f>VLOOKUP(B160,'Small Pricelist'!A:L,8,0)</f>
        <v>326.22800000000001</v>
      </c>
      <c r="Q160" s="1" t="s">
        <v>14</v>
      </c>
      <c r="R160">
        <f>VLOOKUP(B160,'Small Pricelist'!A:L,9,0)</f>
        <v>143.77199999999999</v>
      </c>
      <c r="S160" s="1" t="s">
        <v>14</v>
      </c>
      <c r="T160">
        <f>VLOOKUP(B160,'Small Pricelist'!A:L,10,0)</f>
        <v>143.77199999999999</v>
      </c>
      <c r="U160" s="1" t="s">
        <v>14</v>
      </c>
      <c r="V160">
        <f>VLOOKUP(B160,'Small Pricelist'!A:L,11,0)</f>
        <v>44.071017815760754</v>
      </c>
      <c r="W160" s="1" t="s">
        <v>14</v>
      </c>
      <c r="X160">
        <f>VLOOKUP(B160,'Small Pricelist'!A:L,12,0)</f>
        <v>6524.56</v>
      </c>
      <c r="Y160" s="1" t="s">
        <v>12</v>
      </c>
      <c r="Z160" s="25" t="str">
        <f t="shared" si="2"/>
        <v>&lt;tr&gt; &lt;td&gt;7436229&lt;/td&gt;&lt;td&gt;SERVO PRIDENXT 15W40-20 X 1 L PROMO&lt;/td&gt;&lt;td&gt;470&lt;/td&gt;&lt;td&gt;359.268&lt;/td&gt;&lt;td&gt;28&lt;/td&gt;&lt;td&gt;0&lt;/td&gt;&lt;td&gt;0&lt;/td&gt;&lt;td&gt;326.228&lt;/td&gt;&lt;td&gt;143.772&lt;/td&gt;&lt;td&gt;143.772&lt;/td&gt;&lt;td&gt;44.0710178157608&lt;/td&gt;&lt;td&gt;6524.56&lt;/td&gt;&lt;/tr&gt;</v>
      </c>
    </row>
    <row r="161" spans="1:26" x14ac:dyDescent="0.3">
      <c r="A161" s="1" t="s">
        <v>13</v>
      </c>
      <c r="B161">
        <f>'Small Pricelist'!A160</f>
        <v>7436250</v>
      </c>
      <c r="C161" s="1" t="s">
        <v>14</v>
      </c>
      <c r="D161" t="str">
        <f>VLOOKUP(B161,'Small Pricelist'!A:L,2,0)</f>
        <v>SERVO PRIDE NXT CK4 15W-40-7.5 L PROMO</v>
      </c>
      <c r="E161" s="1" t="s">
        <v>14</v>
      </c>
      <c r="F161">
        <f>VLOOKUP(B161,'Small Pricelist'!A:L,3,0)</f>
        <v>3451</v>
      </c>
      <c r="G161" s="1" t="s">
        <v>14</v>
      </c>
      <c r="H161">
        <f>VLOOKUP(B161,'Small Pricelist'!A:L,4,0)</f>
        <v>2646.2268000000004</v>
      </c>
      <c r="I161" s="1" t="s">
        <v>14</v>
      </c>
      <c r="J161">
        <f>VLOOKUP(B161,'Small Pricelist'!A:L,5,0)</f>
        <v>39</v>
      </c>
      <c r="K161" s="1" t="s">
        <v>14</v>
      </c>
      <c r="L161">
        <f>VLOOKUP(B161,'Small Pricelist'!A:L,6,0)</f>
        <v>0</v>
      </c>
      <c r="M161" s="1" t="s">
        <v>14</v>
      </c>
      <c r="N161">
        <f>VLOOKUP(B161,'Small Pricelist'!A:L,7,0)</f>
        <v>0</v>
      </c>
      <c r="O161" s="1" t="s">
        <v>14</v>
      </c>
      <c r="P161">
        <f>VLOOKUP(B161,'Small Pricelist'!A:L,8,0)</f>
        <v>2301.0768000000003</v>
      </c>
      <c r="Q161" s="1" t="s">
        <v>14</v>
      </c>
      <c r="R161">
        <f>VLOOKUP(B161,'Small Pricelist'!A:L,9,0)</f>
        <v>1149.9231999999997</v>
      </c>
      <c r="S161" s="1" t="s">
        <v>14</v>
      </c>
      <c r="T161">
        <f>VLOOKUP(B161,'Small Pricelist'!A:L,10,0)</f>
        <v>153.3230933333333</v>
      </c>
      <c r="U161" s="1" t="s">
        <v>14</v>
      </c>
      <c r="V161">
        <f>VLOOKUP(B161,'Small Pricelist'!A:L,11,0)</f>
        <v>49.973264690687401</v>
      </c>
      <c r="W161" s="1" t="s">
        <v>14</v>
      </c>
      <c r="X161">
        <f>VLOOKUP(B161,'Small Pricelist'!A:L,12,0)</f>
        <v>2301.0768000000003</v>
      </c>
      <c r="Y161" s="1" t="s">
        <v>12</v>
      </c>
      <c r="Z161" s="25" t="str">
        <f t="shared" si="2"/>
        <v>&lt;tr&gt; &lt;td&gt;7436250&lt;/td&gt;&lt;td&gt;SERVO PRIDE NXT CK4 15W-40-7.5 L PROMO&lt;/td&gt;&lt;td&gt;3451&lt;/td&gt;&lt;td&gt;2646.2268&lt;/td&gt;&lt;td&gt;39&lt;/td&gt;&lt;td&gt;0&lt;/td&gt;&lt;td&gt;0&lt;/td&gt;&lt;td&gt;2301.0768&lt;/td&gt;&lt;td&gt;1149.9232&lt;/td&gt;&lt;td&gt;153.323093333333&lt;/td&gt;&lt;td&gt;49.9732646906874&lt;/td&gt;&lt;td&gt;2301.0768&lt;/td&gt;&lt;/tr&gt;</v>
      </c>
    </row>
    <row r="162" spans="1:26" x14ac:dyDescent="0.3">
      <c r="A162" s="1" t="s">
        <v>13</v>
      </c>
      <c r="B162">
        <f>'Small Pricelist'!A161</f>
        <v>7436253</v>
      </c>
      <c r="C162" s="1" t="s">
        <v>14</v>
      </c>
      <c r="D162" t="str">
        <f>VLOOKUP(B162,'Small Pricelist'!A:L,2,0)</f>
        <v>SERVO PRIDE NXT CK4 15W-40-15 L PROMO</v>
      </c>
      <c r="E162" s="1" t="s">
        <v>14</v>
      </c>
      <c r="F162">
        <f>VLOOKUP(B162,'Small Pricelist'!A:L,3,0)</f>
        <v>6850</v>
      </c>
      <c r="G162" s="1" t="s">
        <v>14</v>
      </c>
      <c r="H162">
        <f>VLOOKUP(B162,'Small Pricelist'!A:L,4,0)</f>
        <v>5229.9749999999995</v>
      </c>
      <c r="I162" s="1" t="s">
        <v>14</v>
      </c>
      <c r="J162">
        <f>VLOOKUP(B162,'Small Pricelist'!A:L,5,0)</f>
        <v>39</v>
      </c>
      <c r="K162" s="1" t="s">
        <v>14</v>
      </c>
      <c r="L162">
        <f>VLOOKUP(B162,'Small Pricelist'!A:L,6,0)</f>
        <v>0</v>
      </c>
      <c r="M162" s="1" t="s">
        <v>14</v>
      </c>
      <c r="N162">
        <f>VLOOKUP(B162,'Small Pricelist'!A:L,7,0)</f>
        <v>0</v>
      </c>
      <c r="O162" s="1" t="s">
        <v>14</v>
      </c>
      <c r="P162">
        <f>VLOOKUP(B162,'Small Pricelist'!A:L,8,0)</f>
        <v>4539.6750000000002</v>
      </c>
      <c r="Q162" s="1" t="s">
        <v>14</v>
      </c>
      <c r="R162">
        <f>VLOOKUP(B162,'Small Pricelist'!A:L,9,0)</f>
        <v>2310.3249999999998</v>
      </c>
      <c r="S162" s="1" t="s">
        <v>14</v>
      </c>
      <c r="T162">
        <f>VLOOKUP(B162,'Small Pricelist'!A:L,10,0)</f>
        <v>154.02166666666665</v>
      </c>
      <c r="U162" s="1" t="s">
        <v>14</v>
      </c>
      <c r="V162">
        <f>VLOOKUP(B162,'Small Pricelist'!A:L,11,0)</f>
        <v>50.891858998716863</v>
      </c>
      <c r="W162" s="1" t="s">
        <v>14</v>
      </c>
      <c r="X162">
        <f>VLOOKUP(B162,'Small Pricelist'!A:L,12,0)</f>
        <v>4539.6750000000002</v>
      </c>
      <c r="Y162" s="1" t="s">
        <v>12</v>
      </c>
      <c r="Z162" s="25" t="str">
        <f t="shared" si="2"/>
        <v>&lt;tr&gt; &lt;td&gt;7436253&lt;/td&gt;&lt;td&gt;SERVO PRIDE NXT CK4 15W-40-15 L PROMO&lt;/td&gt;&lt;td&gt;6850&lt;/td&gt;&lt;td&gt;5229.975&lt;/td&gt;&lt;td&gt;39&lt;/td&gt;&lt;td&gt;0&lt;/td&gt;&lt;td&gt;0&lt;/td&gt;&lt;td&gt;4539.675&lt;/td&gt;&lt;td&gt;2310.325&lt;/td&gt;&lt;td&gt;154.021666666667&lt;/td&gt;&lt;td&gt;50.8918589987169&lt;/td&gt;&lt;td&gt;4539.675&lt;/td&gt;&lt;/tr&gt;</v>
      </c>
    </row>
    <row r="163" spans="1:26" x14ac:dyDescent="0.3">
      <c r="A163" s="1" t="s">
        <v>13</v>
      </c>
      <c r="B163">
        <f>'Small Pricelist'!A162</f>
        <v>7470184</v>
      </c>
      <c r="C163" s="1" t="s">
        <v>14</v>
      </c>
      <c r="D163" t="str">
        <f>VLOOKUP(B163,'Small Pricelist'!A:L,2,0)</f>
        <v>S FLEET SUPREME CI4PLUS 15W-40-20 X 1 L</v>
      </c>
      <c r="E163" s="1" t="s">
        <v>14</v>
      </c>
      <c r="F163">
        <f>VLOOKUP(B163,'Small Pricelist'!A:L,3,0)</f>
        <v>380</v>
      </c>
      <c r="G163" s="1" t="s">
        <v>14</v>
      </c>
      <c r="H163">
        <f>VLOOKUP(B163,'Small Pricelist'!A:L,4,0)</f>
        <v>292.41000000000003</v>
      </c>
      <c r="I163" s="1" t="s">
        <v>14</v>
      </c>
      <c r="J163">
        <f>VLOOKUP(B163,'Small Pricelist'!A:L,5,0)</f>
        <v>4</v>
      </c>
      <c r="K163" s="1" t="s">
        <v>14</v>
      </c>
      <c r="L163">
        <f>VLOOKUP(B163,'Small Pricelist'!A:L,6,0)</f>
        <v>0</v>
      </c>
      <c r="M163" s="1" t="s">
        <v>14</v>
      </c>
      <c r="N163">
        <f>VLOOKUP(B163,'Small Pricelist'!A:L,7,0)</f>
        <v>0</v>
      </c>
      <c r="O163" s="1" t="s">
        <v>14</v>
      </c>
      <c r="P163">
        <f>VLOOKUP(B163,'Small Pricelist'!A:L,8,0)</f>
        <v>287.69</v>
      </c>
      <c r="Q163" s="1" t="s">
        <v>14</v>
      </c>
      <c r="R163">
        <f>VLOOKUP(B163,'Small Pricelist'!A:L,9,0)</f>
        <v>92.31</v>
      </c>
      <c r="S163" s="1" t="s">
        <v>14</v>
      </c>
      <c r="T163">
        <f>VLOOKUP(B163,'Small Pricelist'!A:L,10,0)</f>
        <v>92.31</v>
      </c>
      <c r="U163" s="1" t="s">
        <v>14</v>
      </c>
      <c r="V163">
        <f>VLOOKUP(B163,'Small Pricelist'!A:L,11,0)</f>
        <v>32.086621015676599</v>
      </c>
      <c r="W163" s="1" t="s">
        <v>14</v>
      </c>
      <c r="X163">
        <f>VLOOKUP(B163,'Small Pricelist'!A:L,12,0)</f>
        <v>5753.8000000000038</v>
      </c>
      <c r="Y163" s="1" t="s">
        <v>12</v>
      </c>
      <c r="Z163" s="25" t="str">
        <f t="shared" si="2"/>
        <v>&lt;tr&gt; &lt;td&gt;7470184&lt;/td&gt;&lt;td&gt;S FLEET SUPREME CI4PLUS 15W-40-20 X 1 L&lt;/td&gt;&lt;td&gt;380&lt;/td&gt;&lt;td&gt;292.41&lt;/td&gt;&lt;td&gt;4&lt;/td&gt;&lt;td&gt;0&lt;/td&gt;&lt;td&gt;0&lt;/td&gt;&lt;td&gt;287.69&lt;/td&gt;&lt;td&gt;92.31&lt;/td&gt;&lt;td&gt;92.31&lt;/td&gt;&lt;td&gt;32.0866210156766&lt;/td&gt;&lt;td&gt;5753.8&lt;/td&gt;&lt;/tr&gt;</v>
      </c>
    </row>
    <row r="164" spans="1:26" x14ac:dyDescent="0.3">
      <c r="A164" s="1" t="s">
        <v>13</v>
      </c>
      <c r="B164">
        <f>'Small Pricelist'!A163</f>
        <v>7470251</v>
      </c>
      <c r="C164" s="1" t="s">
        <v>14</v>
      </c>
      <c r="D164" t="str">
        <f>VLOOKUP(B164,'Small Pricelist'!A:L,2,0)</f>
        <v>S FLEET SUPREME CI4PLUS 15W-40-7.5 L</v>
      </c>
      <c r="E164" s="1" t="s">
        <v>14</v>
      </c>
      <c r="F164">
        <f>VLOOKUP(B164,'Small Pricelist'!A:L,3,0)</f>
        <v>2476</v>
      </c>
      <c r="G164" s="1" t="s">
        <v>14</v>
      </c>
      <c r="H164">
        <f>VLOOKUP(B164,'Small Pricelist'!A:L,4,0)</f>
        <v>1968.9151999999999</v>
      </c>
      <c r="I164" s="1" t="s">
        <v>14</v>
      </c>
      <c r="J164">
        <f>VLOOKUP(B164,'Small Pricelist'!A:L,5,0)</f>
        <v>9</v>
      </c>
      <c r="K164" s="1" t="s">
        <v>14</v>
      </c>
      <c r="L164">
        <f>VLOOKUP(B164,'Small Pricelist'!A:L,6,0)</f>
        <v>0</v>
      </c>
      <c r="M164" s="1" t="s">
        <v>14</v>
      </c>
      <c r="N164">
        <f>VLOOKUP(B164,'Small Pricelist'!A:L,7,0)</f>
        <v>0</v>
      </c>
      <c r="O164" s="1" t="s">
        <v>14</v>
      </c>
      <c r="P164">
        <f>VLOOKUP(B164,'Small Pricelist'!A:L,8,0)</f>
        <v>1889.2651999999998</v>
      </c>
      <c r="Q164" s="1" t="s">
        <v>14</v>
      </c>
      <c r="R164">
        <f>VLOOKUP(B164,'Small Pricelist'!A:L,9,0)</f>
        <v>586.73480000000018</v>
      </c>
      <c r="S164" s="1" t="s">
        <v>14</v>
      </c>
      <c r="T164">
        <f>VLOOKUP(B164,'Small Pricelist'!A:L,10,0)</f>
        <v>78.231306666666683</v>
      </c>
      <c r="U164" s="1" t="s">
        <v>14</v>
      </c>
      <c r="V164">
        <f>VLOOKUP(B164,'Small Pricelist'!A:L,11,0)</f>
        <v>31.056243453804168</v>
      </c>
      <c r="W164" s="1" t="s">
        <v>14</v>
      </c>
      <c r="X164">
        <f>VLOOKUP(B164,'Small Pricelist'!A:L,12,0)</f>
        <v>1889.2652000000012</v>
      </c>
      <c r="Y164" s="1" t="s">
        <v>12</v>
      </c>
      <c r="Z164" s="25" t="str">
        <f t="shared" si="2"/>
        <v>&lt;tr&gt; &lt;td&gt;7470251&lt;/td&gt;&lt;td&gt;S FLEET SUPREME CI4PLUS 15W-40-7.5 L&lt;/td&gt;&lt;td&gt;2476&lt;/td&gt;&lt;td&gt;1968.9152&lt;/td&gt;&lt;td&gt;9&lt;/td&gt;&lt;td&gt;0&lt;/td&gt;&lt;td&gt;0&lt;/td&gt;&lt;td&gt;1889.2652&lt;/td&gt;&lt;td&gt;586.7348&lt;/td&gt;&lt;td&gt;78.2313066666667&lt;/td&gt;&lt;td&gt;31.0562434538042&lt;/td&gt;&lt;td&gt;1889.2652&lt;/td&gt;&lt;/tr&gt;</v>
      </c>
    </row>
    <row r="165" spans="1:26" x14ac:dyDescent="0.3">
      <c r="A165" s="1" t="s">
        <v>13</v>
      </c>
      <c r="B165">
        <f>'Small Pricelist'!A164</f>
        <v>7470256</v>
      </c>
      <c r="C165" s="1" t="s">
        <v>14</v>
      </c>
      <c r="D165" t="str">
        <f>VLOOKUP(B165,'Small Pricelist'!A:L,2,0)</f>
        <v>SERVO FLEET SUPREME CI4 PLUS 15W-40-15 L</v>
      </c>
      <c r="E165" s="1" t="s">
        <v>14</v>
      </c>
      <c r="F165">
        <f>VLOOKUP(B165,'Small Pricelist'!A:L,3,0)</f>
        <v>4950</v>
      </c>
      <c r="G165" s="1" t="s">
        <v>14</v>
      </c>
      <c r="H165">
        <f>VLOOKUP(B165,'Small Pricelist'!A:L,4,0)</f>
        <v>3926.835</v>
      </c>
      <c r="I165" s="1" t="s">
        <v>14</v>
      </c>
      <c r="J165">
        <f>VLOOKUP(B165,'Small Pricelist'!A:L,5,0)</f>
        <v>9</v>
      </c>
      <c r="K165" s="1" t="s">
        <v>14</v>
      </c>
      <c r="L165">
        <f>VLOOKUP(B165,'Small Pricelist'!A:L,6,0)</f>
        <v>0</v>
      </c>
      <c r="M165" s="1" t="s">
        <v>14</v>
      </c>
      <c r="N165">
        <f>VLOOKUP(B165,'Small Pricelist'!A:L,7,0)</f>
        <v>0</v>
      </c>
      <c r="O165" s="1" t="s">
        <v>14</v>
      </c>
      <c r="P165">
        <f>VLOOKUP(B165,'Small Pricelist'!A:L,8,0)</f>
        <v>3767.5349999999999</v>
      </c>
      <c r="Q165" s="1" t="s">
        <v>14</v>
      </c>
      <c r="R165">
        <f>VLOOKUP(B165,'Small Pricelist'!A:L,9,0)</f>
        <v>1182.4650000000001</v>
      </c>
      <c r="S165" s="1" t="s">
        <v>14</v>
      </c>
      <c r="T165">
        <f>VLOOKUP(B165,'Small Pricelist'!A:L,10,0)</f>
        <v>78.831000000000017</v>
      </c>
      <c r="U165" s="1" t="s">
        <v>14</v>
      </c>
      <c r="V165">
        <f>VLOOKUP(B165,'Small Pricelist'!A:L,11,0)</f>
        <v>31.385640743881616</v>
      </c>
      <c r="W165" s="1" t="s">
        <v>14</v>
      </c>
      <c r="X165">
        <f>VLOOKUP(B165,'Small Pricelist'!A:L,12,0)</f>
        <v>3767.5350000000026</v>
      </c>
      <c r="Y165" s="1" t="s">
        <v>12</v>
      </c>
      <c r="Z165" s="25" t="str">
        <f t="shared" si="2"/>
        <v>&lt;tr&gt; &lt;td&gt;7470256&lt;/td&gt;&lt;td&gt;SERVO FLEET SUPREME CI4 PLUS 15W-40-15 L&lt;/td&gt;&lt;td&gt;4950&lt;/td&gt;&lt;td&gt;3926.835&lt;/td&gt;&lt;td&gt;9&lt;/td&gt;&lt;td&gt;0&lt;/td&gt;&lt;td&gt;0&lt;/td&gt;&lt;td&gt;3767.535&lt;/td&gt;&lt;td&gt;1182.465&lt;/td&gt;&lt;td&gt;78.831&lt;/td&gt;&lt;td&gt;31.3856407438816&lt;/td&gt;&lt;td&gt;3767.535&lt;/td&gt;&lt;/tr&gt;</v>
      </c>
    </row>
    <row r="166" spans="1:26" x14ac:dyDescent="0.3">
      <c r="A166" s="1" t="s">
        <v>13</v>
      </c>
      <c r="B166">
        <f>'Small Pricelist'!A165</f>
        <v>7472184</v>
      </c>
      <c r="C166" s="1" t="s">
        <v>14</v>
      </c>
      <c r="D166" t="str">
        <f>VLOOKUP(B166,'Small Pricelist'!A:L,2,0)</f>
        <v>SERVO FLT CF4 15W-40-20 X 1 L</v>
      </c>
      <c r="E166" s="1" t="s">
        <v>14</v>
      </c>
      <c r="F166">
        <f>VLOOKUP(B166,'Small Pricelist'!A:L,3,0)</f>
        <v>364</v>
      </c>
      <c r="G166" s="1" t="s">
        <v>14</v>
      </c>
      <c r="H166">
        <f>VLOOKUP(B166,'Small Pricelist'!A:L,4,0)</f>
        <v>278.9332</v>
      </c>
      <c r="I166" s="1" t="s">
        <v>14</v>
      </c>
      <c r="J166">
        <f>VLOOKUP(B166,'Small Pricelist'!A:L,5,0)</f>
        <v>4</v>
      </c>
      <c r="K166" s="1" t="s">
        <v>14</v>
      </c>
      <c r="L166">
        <f>VLOOKUP(B166,'Small Pricelist'!A:L,6,0)</f>
        <v>0</v>
      </c>
      <c r="M166" s="1" t="s">
        <v>14</v>
      </c>
      <c r="N166">
        <f>VLOOKUP(B166,'Small Pricelist'!A:L,7,0)</f>
        <v>0</v>
      </c>
      <c r="O166" s="1" t="s">
        <v>14</v>
      </c>
      <c r="P166">
        <f>VLOOKUP(B166,'Small Pricelist'!A:L,8,0)</f>
        <v>274.21319999999997</v>
      </c>
      <c r="Q166" s="1" t="s">
        <v>14</v>
      </c>
      <c r="R166">
        <f>VLOOKUP(B166,'Small Pricelist'!A:L,9,0)</f>
        <v>89.786800000000028</v>
      </c>
      <c r="S166" s="1" t="s">
        <v>14</v>
      </c>
      <c r="T166">
        <f>VLOOKUP(B166,'Small Pricelist'!A:L,10,0)</f>
        <v>89.786800000000028</v>
      </c>
      <c r="U166" s="1" t="s">
        <v>14</v>
      </c>
      <c r="V166">
        <f>VLOOKUP(B166,'Small Pricelist'!A:L,11,0)</f>
        <v>32.74342737694613</v>
      </c>
      <c r="W166" s="1" t="s">
        <v>14</v>
      </c>
      <c r="X166">
        <f>VLOOKUP(B166,'Small Pricelist'!A:L,12,0)</f>
        <v>5484.2640000000038</v>
      </c>
      <c r="Y166" s="1" t="s">
        <v>12</v>
      </c>
      <c r="Z166" s="25" t="str">
        <f t="shared" si="2"/>
        <v>&lt;tr&gt; &lt;td&gt;7472184&lt;/td&gt;&lt;td&gt;SERVO FLT CF4 15W-40-20 X 1 L&lt;/td&gt;&lt;td&gt;364&lt;/td&gt;&lt;td&gt;278.9332&lt;/td&gt;&lt;td&gt;4&lt;/td&gt;&lt;td&gt;0&lt;/td&gt;&lt;td&gt;0&lt;/td&gt;&lt;td&gt;274.2132&lt;/td&gt;&lt;td&gt;89.7868&lt;/td&gt;&lt;td&gt;89.7868&lt;/td&gt;&lt;td&gt;32.7434273769461&lt;/td&gt;&lt;td&gt;5484.264&lt;/td&gt;&lt;/tr&gt;</v>
      </c>
    </row>
    <row r="167" spans="1:26" x14ac:dyDescent="0.3">
      <c r="A167" s="1" t="s">
        <v>13</v>
      </c>
      <c r="B167">
        <f>'Small Pricelist'!A166</f>
        <v>7472203</v>
      </c>
      <c r="C167" s="1" t="s">
        <v>14</v>
      </c>
      <c r="D167" t="str">
        <f>VLOOKUP(B167,'Small Pricelist'!A:L,2,0)</f>
        <v>SERVO FLT CF4 15W-40-4 X 3 L</v>
      </c>
      <c r="E167" s="1" t="s">
        <v>14</v>
      </c>
      <c r="F167">
        <f>VLOOKUP(B167,'Small Pricelist'!A:L,3,0)</f>
        <v>1065</v>
      </c>
      <c r="G167" s="1" t="s">
        <v>14</v>
      </c>
      <c r="H167">
        <f>VLOOKUP(B167,'Small Pricelist'!A:L,4,0)</f>
        <v>825.05550000000005</v>
      </c>
      <c r="I167" s="1" t="s">
        <v>14</v>
      </c>
      <c r="J167">
        <f>VLOOKUP(B167,'Small Pricelist'!A:L,5,0)</f>
        <v>4</v>
      </c>
      <c r="K167" s="1" t="s">
        <v>14</v>
      </c>
      <c r="L167">
        <f>VLOOKUP(B167,'Small Pricelist'!A:L,6,0)</f>
        <v>0</v>
      </c>
      <c r="M167" s="1" t="s">
        <v>14</v>
      </c>
      <c r="N167">
        <f>VLOOKUP(B167,'Small Pricelist'!A:L,7,0)</f>
        <v>0</v>
      </c>
      <c r="O167" s="1" t="s">
        <v>14</v>
      </c>
      <c r="P167">
        <f>VLOOKUP(B167,'Small Pricelist'!A:L,8,0)</f>
        <v>810.89550000000008</v>
      </c>
      <c r="Q167" s="1" t="s">
        <v>14</v>
      </c>
      <c r="R167">
        <f>VLOOKUP(B167,'Small Pricelist'!A:L,9,0)</f>
        <v>254.10449999999992</v>
      </c>
      <c r="S167" s="1" t="s">
        <v>14</v>
      </c>
      <c r="T167">
        <f>VLOOKUP(B167,'Small Pricelist'!A:L,10,0)</f>
        <v>84.701499999999953</v>
      </c>
      <c r="U167" s="1" t="s">
        <v>14</v>
      </c>
      <c r="V167">
        <f>VLOOKUP(B167,'Small Pricelist'!A:L,11,0)</f>
        <v>31.336281925352882</v>
      </c>
      <c r="W167" s="1" t="s">
        <v>14</v>
      </c>
      <c r="X167">
        <f>VLOOKUP(B167,'Small Pricelist'!A:L,12,0)</f>
        <v>3243.5820000000017</v>
      </c>
      <c r="Y167" s="1" t="s">
        <v>12</v>
      </c>
      <c r="Z167" s="25" t="str">
        <f t="shared" si="2"/>
        <v>&lt;tr&gt; &lt;td&gt;7472203&lt;/td&gt;&lt;td&gt;SERVO FLT CF4 15W-40-4 X 3 L&lt;/td&gt;&lt;td&gt;1065&lt;/td&gt;&lt;td&gt;825.0555&lt;/td&gt;&lt;td&gt;4&lt;/td&gt;&lt;td&gt;0&lt;/td&gt;&lt;td&gt;0&lt;/td&gt;&lt;td&gt;810.8955&lt;/td&gt;&lt;td&gt;254.1045&lt;/td&gt;&lt;td&gt;84.7015&lt;/td&gt;&lt;td&gt;31.3362819253529&lt;/td&gt;&lt;td&gt;3243.582&lt;/td&gt;&lt;/tr&gt;</v>
      </c>
    </row>
    <row r="168" spans="1:26" x14ac:dyDescent="0.3">
      <c r="A168" s="1" t="s">
        <v>13</v>
      </c>
      <c r="B168">
        <f>'Small Pricelist'!A167</f>
        <v>7472234</v>
      </c>
      <c r="C168" s="1" t="s">
        <v>14</v>
      </c>
      <c r="D168" t="str">
        <f>VLOOKUP(B168,'Small Pricelist'!A:L,2,0)</f>
        <v>SERVO FLT CF4 15W-40-4 X 5 L</v>
      </c>
      <c r="E168" s="1" t="s">
        <v>14</v>
      </c>
      <c r="F168">
        <f>VLOOKUP(B168,'Small Pricelist'!A:L,3,0)</f>
        <v>1770</v>
      </c>
      <c r="G168" s="1" t="s">
        <v>14</v>
      </c>
      <c r="H168">
        <f>VLOOKUP(B168,'Small Pricelist'!A:L,4,0)</f>
        <v>1367.5020000000002</v>
      </c>
      <c r="I168" s="1" t="s">
        <v>14</v>
      </c>
      <c r="J168">
        <f>VLOOKUP(B168,'Small Pricelist'!A:L,5,0)</f>
        <v>4</v>
      </c>
      <c r="K168" s="1" t="s">
        <v>14</v>
      </c>
      <c r="L168">
        <f>VLOOKUP(B168,'Small Pricelist'!A:L,6,0)</f>
        <v>0</v>
      </c>
      <c r="M168" s="1" t="s">
        <v>14</v>
      </c>
      <c r="N168">
        <f>VLOOKUP(B168,'Small Pricelist'!A:L,7,0)</f>
        <v>0</v>
      </c>
      <c r="O168" s="1" t="s">
        <v>14</v>
      </c>
      <c r="P168">
        <f>VLOOKUP(B168,'Small Pricelist'!A:L,8,0)</f>
        <v>1343.9020000000003</v>
      </c>
      <c r="Q168" s="1" t="s">
        <v>14</v>
      </c>
      <c r="R168">
        <f>VLOOKUP(B168,'Small Pricelist'!A:L,9,0)</f>
        <v>426.09799999999973</v>
      </c>
      <c r="S168" s="1" t="s">
        <v>14</v>
      </c>
      <c r="T168">
        <f>VLOOKUP(B168,'Small Pricelist'!A:L,10,0)</f>
        <v>85.219599999999957</v>
      </c>
      <c r="U168" s="1" t="s">
        <v>14</v>
      </c>
      <c r="V168">
        <f>VLOOKUP(B168,'Small Pricelist'!A:L,11,0)</f>
        <v>31.706032136271816</v>
      </c>
      <c r="W168" s="1" t="s">
        <v>14</v>
      </c>
      <c r="X168">
        <f>VLOOKUP(B168,'Small Pricelist'!A:L,12,0)</f>
        <v>5375.6080000000047</v>
      </c>
      <c r="Y168" s="1" t="s">
        <v>12</v>
      </c>
      <c r="Z168" s="25" t="str">
        <f t="shared" si="2"/>
        <v>&lt;tr&gt; &lt;td&gt;7472234&lt;/td&gt;&lt;td&gt;SERVO FLT CF4 15W-40-4 X 5 L&lt;/td&gt;&lt;td&gt;1770&lt;/td&gt;&lt;td&gt;1367.502&lt;/td&gt;&lt;td&gt;4&lt;/td&gt;&lt;td&gt;0&lt;/td&gt;&lt;td&gt;0&lt;/td&gt;&lt;td&gt;1343.902&lt;/td&gt;&lt;td&gt;426.098&lt;/td&gt;&lt;td&gt;85.2196&lt;/td&gt;&lt;td&gt;31.7060321362718&lt;/td&gt;&lt;td&gt;5375.608&lt;/td&gt;&lt;/tr&gt;</v>
      </c>
    </row>
    <row r="169" spans="1:26" x14ac:dyDescent="0.3">
      <c r="A169" s="1" t="s">
        <v>13</v>
      </c>
      <c r="B169">
        <f>'Small Pricelist'!A168</f>
        <v>7472251</v>
      </c>
      <c r="C169" s="1" t="s">
        <v>14</v>
      </c>
      <c r="D169" t="str">
        <f>VLOOKUP(B169,'Small Pricelist'!A:L,2,0)</f>
        <v>SERVO FLT CF4 15W-40-7.5 L</v>
      </c>
      <c r="E169" s="1" t="s">
        <v>14</v>
      </c>
      <c r="F169">
        <f>VLOOKUP(B169,'Small Pricelist'!A:L,3,0)</f>
        <v>2591</v>
      </c>
      <c r="G169" s="1" t="s">
        <v>14</v>
      </c>
      <c r="H169">
        <f>VLOOKUP(B169,'Small Pricelist'!A:L,4,0)</f>
        <v>2021.7573000000002</v>
      </c>
      <c r="I169" s="1" t="s">
        <v>14</v>
      </c>
      <c r="J169">
        <f>VLOOKUP(B169,'Small Pricelist'!A:L,5,0)</f>
        <v>9</v>
      </c>
      <c r="K169" s="1" t="s">
        <v>14</v>
      </c>
      <c r="L169">
        <f>VLOOKUP(B169,'Small Pricelist'!A:L,6,0)</f>
        <v>0</v>
      </c>
      <c r="M169" s="1" t="s">
        <v>14</v>
      </c>
      <c r="N169">
        <f>VLOOKUP(B169,'Small Pricelist'!A:L,7,0)</f>
        <v>0</v>
      </c>
      <c r="O169" s="1" t="s">
        <v>14</v>
      </c>
      <c r="P169">
        <f>VLOOKUP(B169,'Small Pricelist'!A:L,8,0)</f>
        <v>1942.1073000000004</v>
      </c>
      <c r="Q169" s="1" t="s">
        <v>14</v>
      </c>
      <c r="R169">
        <f>VLOOKUP(B169,'Small Pricelist'!A:L,9,0)</f>
        <v>648.89269999999965</v>
      </c>
      <c r="S169" s="1" t="s">
        <v>14</v>
      </c>
      <c r="T169">
        <f>VLOOKUP(B169,'Small Pricelist'!A:L,10,0)</f>
        <v>86.519026666666605</v>
      </c>
      <c r="U169" s="1" t="s">
        <v>14</v>
      </c>
      <c r="V169">
        <f>VLOOKUP(B169,'Small Pricelist'!A:L,11,0)</f>
        <v>33.411784199565062</v>
      </c>
      <c r="W169" s="1" t="s">
        <v>14</v>
      </c>
      <c r="X169">
        <f>VLOOKUP(B169,'Small Pricelist'!A:L,12,0)</f>
        <v>1942.1073000000017</v>
      </c>
      <c r="Y169" s="1" t="s">
        <v>12</v>
      </c>
      <c r="Z169" s="25" t="str">
        <f t="shared" si="2"/>
        <v>&lt;tr&gt; &lt;td&gt;7472251&lt;/td&gt;&lt;td&gt;SERVO FLT CF4 15W-40-7.5 L&lt;/td&gt;&lt;td&gt;2591&lt;/td&gt;&lt;td&gt;2021.7573&lt;/td&gt;&lt;td&gt;9&lt;/td&gt;&lt;td&gt;0&lt;/td&gt;&lt;td&gt;0&lt;/td&gt;&lt;td&gt;1942.1073&lt;/td&gt;&lt;td&gt;648.8927&lt;/td&gt;&lt;td&gt;86.5190266666666&lt;/td&gt;&lt;td&gt;33.4117841995651&lt;/td&gt;&lt;td&gt;1942.1073&lt;/td&gt;&lt;/tr&gt;</v>
      </c>
    </row>
    <row r="170" spans="1:26" x14ac:dyDescent="0.3">
      <c r="A170" s="1" t="s">
        <v>13</v>
      </c>
      <c r="B170">
        <f>'Small Pricelist'!A169</f>
        <v>7472256</v>
      </c>
      <c r="C170" s="1" t="s">
        <v>14</v>
      </c>
      <c r="D170" t="str">
        <f>VLOOKUP(B170,'Small Pricelist'!A:L,2,0)</f>
        <v>SERVO FLT CF4 15W-40-15 L</v>
      </c>
      <c r="E170" s="1" t="s">
        <v>14</v>
      </c>
      <c r="F170">
        <f>VLOOKUP(B170,'Small Pricelist'!A:L,3,0)</f>
        <v>5150</v>
      </c>
      <c r="G170" s="1" t="s">
        <v>14</v>
      </c>
      <c r="H170">
        <f>VLOOKUP(B170,'Small Pricelist'!A:L,4,0)</f>
        <v>4000.0050000000001</v>
      </c>
      <c r="I170" s="1" t="s">
        <v>14</v>
      </c>
      <c r="J170">
        <f>VLOOKUP(B170,'Small Pricelist'!A:L,5,0)</f>
        <v>9</v>
      </c>
      <c r="K170" s="1" t="s">
        <v>14</v>
      </c>
      <c r="L170">
        <f>VLOOKUP(B170,'Small Pricelist'!A:L,6,0)</f>
        <v>0</v>
      </c>
      <c r="M170" s="1" t="s">
        <v>14</v>
      </c>
      <c r="N170">
        <f>VLOOKUP(B170,'Small Pricelist'!A:L,7,0)</f>
        <v>0</v>
      </c>
      <c r="O170" s="1" t="s">
        <v>14</v>
      </c>
      <c r="P170">
        <f>VLOOKUP(B170,'Small Pricelist'!A:L,8,0)</f>
        <v>3840.7049999999999</v>
      </c>
      <c r="Q170" s="1" t="s">
        <v>14</v>
      </c>
      <c r="R170">
        <f>VLOOKUP(B170,'Small Pricelist'!A:L,9,0)</f>
        <v>1309.2950000000001</v>
      </c>
      <c r="S170" s="1" t="s">
        <v>14</v>
      </c>
      <c r="T170">
        <f>VLOOKUP(B170,'Small Pricelist'!A:L,10,0)</f>
        <v>87.286333333333346</v>
      </c>
      <c r="U170" s="1" t="s">
        <v>14</v>
      </c>
      <c r="V170">
        <f>VLOOKUP(B170,'Small Pricelist'!A:L,11,0)</f>
        <v>34.08996525377502</v>
      </c>
      <c r="W170" s="1" t="s">
        <v>14</v>
      </c>
      <c r="X170">
        <f>VLOOKUP(B170,'Small Pricelist'!A:L,12,0)</f>
        <v>3840.7050000000027</v>
      </c>
      <c r="Y170" s="1" t="s">
        <v>12</v>
      </c>
      <c r="Z170" s="25" t="str">
        <f t="shared" si="2"/>
        <v>&lt;tr&gt; &lt;td&gt;7472256&lt;/td&gt;&lt;td&gt;SERVO FLT CF4 15W-40-15 L&lt;/td&gt;&lt;td&gt;5150&lt;/td&gt;&lt;td&gt;4000.005&lt;/td&gt;&lt;td&gt;9&lt;/td&gt;&lt;td&gt;0&lt;/td&gt;&lt;td&gt;0&lt;/td&gt;&lt;td&gt;3840.705&lt;/td&gt;&lt;td&gt;1309.295&lt;/td&gt;&lt;td&gt;87.2863333333333&lt;/td&gt;&lt;td&gt;34.089965253775&lt;/td&gt;&lt;td&gt;3840.705&lt;/td&gt;&lt;/tr&gt;</v>
      </c>
    </row>
    <row r="171" spans="1:26" x14ac:dyDescent="0.3">
      <c r="A171" s="1" t="s">
        <v>13</v>
      </c>
      <c r="B171">
        <f>'Small Pricelist'!A170</f>
        <v>7477203</v>
      </c>
      <c r="C171" s="1" t="s">
        <v>14</v>
      </c>
      <c r="D171" t="str">
        <f>VLOOKUP(B171,'Small Pricelist'!A:L,2,0)</f>
        <v>HY.SERVO PRM.EO SM 5W-30-4X3 L</v>
      </c>
      <c r="E171" s="1" t="s">
        <v>14</v>
      </c>
      <c r="F171">
        <f>VLOOKUP(B171,'Small Pricelist'!A:L,3,0)</f>
        <v>1260</v>
      </c>
      <c r="G171" s="1" t="s">
        <v>14</v>
      </c>
      <c r="H171">
        <f>VLOOKUP(B171,'Small Pricelist'!A:L,4,0)</f>
        <v>1037.106</v>
      </c>
      <c r="I171" s="1" t="s">
        <v>14</v>
      </c>
      <c r="J171">
        <f>VLOOKUP(B171,'Small Pricelist'!A:L,5,0)</f>
        <v>0</v>
      </c>
      <c r="K171" s="1" t="s">
        <v>14</v>
      </c>
      <c r="L171">
        <f>VLOOKUP(B171,'Small Pricelist'!A:L,6,0)</f>
        <v>0</v>
      </c>
      <c r="M171" s="1" t="s">
        <v>14</v>
      </c>
      <c r="N171">
        <f>VLOOKUP(B171,'Small Pricelist'!A:L,7,0)</f>
        <v>0</v>
      </c>
      <c r="O171" s="1" t="s">
        <v>14</v>
      </c>
      <c r="P171">
        <f>VLOOKUP(B171,'Small Pricelist'!A:L,8,0)</f>
        <v>1037.106</v>
      </c>
      <c r="Q171" s="1" t="s">
        <v>14</v>
      </c>
      <c r="R171">
        <f>VLOOKUP(B171,'Small Pricelist'!A:L,9,0)</f>
        <v>222.89400000000001</v>
      </c>
      <c r="S171" s="1" t="s">
        <v>14</v>
      </c>
      <c r="T171">
        <f>VLOOKUP(B171,'Small Pricelist'!A:L,10,0)</f>
        <v>74.298000000000002</v>
      </c>
      <c r="U171" s="1" t="s">
        <v>14</v>
      </c>
      <c r="V171">
        <f>VLOOKUP(B171,'Small Pricelist'!A:L,11,0)</f>
        <v>21.491920787267645</v>
      </c>
      <c r="W171" s="1" t="s">
        <v>14</v>
      </c>
      <c r="X171">
        <f>VLOOKUP(B171,'Small Pricelist'!A:L,12,0)</f>
        <v>4148.4240000000018</v>
      </c>
      <c r="Y171" s="1" t="s">
        <v>12</v>
      </c>
      <c r="Z171" s="25" t="str">
        <f t="shared" si="2"/>
        <v>&lt;tr&gt; &lt;td&gt;7477203&lt;/td&gt;&lt;td&gt;HY.SERVO PRM.EO SM 5W-30-4X3 L&lt;/td&gt;&lt;td&gt;1260&lt;/td&gt;&lt;td&gt;1037.106&lt;/td&gt;&lt;td&gt;0&lt;/td&gt;&lt;td&gt;0&lt;/td&gt;&lt;td&gt;0&lt;/td&gt;&lt;td&gt;1037.106&lt;/td&gt;&lt;td&gt;222.894&lt;/td&gt;&lt;td&gt;74.298&lt;/td&gt;&lt;td&gt;21.4919207872676&lt;/td&gt;&lt;td&gt;4148.424&lt;/td&gt;&lt;/tr&gt;</v>
      </c>
    </row>
    <row r="172" spans="1:26" x14ac:dyDescent="0.3">
      <c r="A172" s="1" t="s">
        <v>13</v>
      </c>
      <c r="B172">
        <f>'Small Pricelist'!A171</f>
        <v>7481184</v>
      </c>
      <c r="C172" s="1" t="s">
        <v>14</v>
      </c>
      <c r="D172" t="str">
        <f>VLOOKUP(B172,'Small Pricelist'!A:L,2,0)</f>
        <v>HYUNDAI SERVO COOLANT LL-20 X 1 L</v>
      </c>
      <c r="E172" s="1" t="s">
        <v>14</v>
      </c>
      <c r="F172">
        <f>VLOOKUP(B172,'Small Pricelist'!A:L,3,0)</f>
        <v>365</v>
      </c>
      <c r="G172" s="1" t="s">
        <v>14</v>
      </c>
      <c r="H172">
        <f>VLOOKUP(B172,'Small Pricelist'!A:L,4,0)</f>
        <v>302.62149999999997</v>
      </c>
      <c r="I172" s="1" t="s">
        <v>14</v>
      </c>
      <c r="J172">
        <f>VLOOKUP(B172,'Small Pricelist'!A:L,5,0)</f>
        <v>0</v>
      </c>
      <c r="K172" s="1" t="s">
        <v>14</v>
      </c>
      <c r="L172">
        <f>VLOOKUP(B172,'Small Pricelist'!A:L,6,0)</f>
        <v>0</v>
      </c>
      <c r="M172" s="1" t="s">
        <v>14</v>
      </c>
      <c r="N172">
        <f>VLOOKUP(B172,'Small Pricelist'!A:L,7,0)</f>
        <v>0</v>
      </c>
      <c r="O172" s="1" t="s">
        <v>14</v>
      </c>
      <c r="P172">
        <f>VLOOKUP(B172,'Small Pricelist'!A:L,8,0)</f>
        <v>302.62149999999997</v>
      </c>
      <c r="Q172" s="1" t="s">
        <v>14</v>
      </c>
      <c r="R172">
        <f>VLOOKUP(B172,'Small Pricelist'!A:L,9,0)</f>
        <v>62.378500000000031</v>
      </c>
      <c r="S172" s="1" t="s">
        <v>14</v>
      </c>
      <c r="T172">
        <f>VLOOKUP(B172,'Small Pricelist'!A:L,10,0)</f>
        <v>62.378500000000031</v>
      </c>
      <c r="U172" s="1" t="s">
        <v>14</v>
      </c>
      <c r="V172">
        <f>VLOOKUP(B172,'Small Pricelist'!A:L,11,0)</f>
        <v>20.612712579905935</v>
      </c>
      <c r="W172" s="1" t="s">
        <v>14</v>
      </c>
      <c r="X172">
        <f>VLOOKUP(B172,'Small Pricelist'!A:L,12,0)</f>
        <v>6052.4300000000039</v>
      </c>
      <c r="Y172" s="1" t="s">
        <v>12</v>
      </c>
      <c r="Z172" s="25" t="str">
        <f t="shared" si="2"/>
        <v>&lt;tr&gt; &lt;td&gt;7481184&lt;/td&gt;&lt;td&gt;HYUNDAI SERVO COOLANT LL-20 X 1 L&lt;/td&gt;&lt;td&gt;365&lt;/td&gt;&lt;td&gt;302.6215&lt;/td&gt;&lt;td&gt;0&lt;/td&gt;&lt;td&gt;0&lt;/td&gt;&lt;td&gt;0&lt;/td&gt;&lt;td&gt;302.6215&lt;/td&gt;&lt;td&gt;62.3785&lt;/td&gt;&lt;td&gt;62.3785&lt;/td&gt;&lt;td&gt;20.6127125799059&lt;/td&gt;&lt;td&gt;6052.43&lt;/td&gt;&lt;/tr&gt;</v>
      </c>
    </row>
    <row r="173" spans="1:26" x14ac:dyDescent="0.3">
      <c r="A173" s="1" t="s">
        <v>13</v>
      </c>
      <c r="B173">
        <f>'Small Pricelist'!A172</f>
        <v>7485174</v>
      </c>
      <c r="C173" s="1" t="s">
        <v>14</v>
      </c>
      <c r="D173" t="str">
        <f>VLOOKUP(B173,'Small Pricelist'!A:L,2,0)</f>
        <v>SERVO SUPER 20W-40 MG-40X1/2L</v>
      </c>
      <c r="E173" s="1" t="s">
        <v>14</v>
      </c>
      <c r="F173">
        <f>VLOOKUP(B173,'Small Pricelist'!A:L,3,0)</f>
        <v>179</v>
      </c>
      <c r="G173" s="1" t="s">
        <v>14</v>
      </c>
      <c r="H173">
        <f>VLOOKUP(B173,'Small Pricelist'!A:L,4,0)</f>
        <v>142.37660000000002</v>
      </c>
      <c r="I173" s="1" t="s">
        <v>14</v>
      </c>
      <c r="J173">
        <f>VLOOKUP(B173,'Small Pricelist'!A:L,5,0)</f>
        <v>0</v>
      </c>
      <c r="K173" s="1" t="s">
        <v>14</v>
      </c>
      <c r="L173">
        <f>VLOOKUP(B173,'Small Pricelist'!A:L,6,0)</f>
        <v>0</v>
      </c>
      <c r="M173" s="1" t="s">
        <v>14</v>
      </c>
      <c r="N173">
        <f>VLOOKUP(B173,'Small Pricelist'!A:L,7,0)</f>
        <v>0</v>
      </c>
      <c r="O173" s="1" t="s">
        <v>14</v>
      </c>
      <c r="P173">
        <f>VLOOKUP(B173,'Small Pricelist'!A:L,8,0)</f>
        <v>142.37660000000002</v>
      </c>
      <c r="Q173" s="1" t="s">
        <v>14</v>
      </c>
      <c r="R173">
        <f>VLOOKUP(B173,'Small Pricelist'!A:L,9,0)</f>
        <v>36.623399999999975</v>
      </c>
      <c r="S173" s="1" t="s">
        <v>14</v>
      </c>
      <c r="T173">
        <f>VLOOKUP(B173,'Small Pricelist'!A:L,10,0)</f>
        <v>73.246799999999951</v>
      </c>
      <c r="U173" s="1" t="s">
        <v>14</v>
      </c>
      <c r="V173">
        <f>VLOOKUP(B173,'Small Pricelist'!A:L,11,0)</f>
        <v>25.722906713603194</v>
      </c>
      <c r="W173" s="1" t="s">
        <v>14</v>
      </c>
      <c r="X173">
        <f>VLOOKUP(B173,'Small Pricelist'!A:L,12,0)</f>
        <v>5695.0640000000039</v>
      </c>
      <c r="Y173" s="1" t="s">
        <v>12</v>
      </c>
      <c r="Z173" s="25" t="str">
        <f t="shared" si="2"/>
        <v>&lt;tr&gt; &lt;td&gt;7485174&lt;/td&gt;&lt;td&gt;SERVO SUPER 20W-40 MG-40X1/2L&lt;/td&gt;&lt;td&gt;179&lt;/td&gt;&lt;td&gt;142.3766&lt;/td&gt;&lt;td&gt;0&lt;/td&gt;&lt;td&gt;0&lt;/td&gt;&lt;td&gt;0&lt;/td&gt;&lt;td&gt;142.3766&lt;/td&gt;&lt;td&gt;36.6234&lt;/td&gt;&lt;td&gt;73.2468&lt;/td&gt;&lt;td&gt;25.7229067136032&lt;/td&gt;&lt;td&gt;5695.064&lt;/td&gt;&lt;/tr&gt;</v>
      </c>
    </row>
    <row r="174" spans="1:26" x14ac:dyDescent="0.3">
      <c r="A174" s="1" t="s">
        <v>13</v>
      </c>
      <c r="B174">
        <f>'Small Pricelist'!A173</f>
        <v>7485184</v>
      </c>
      <c r="C174" s="1" t="s">
        <v>14</v>
      </c>
      <c r="D174" t="str">
        <f>VLOOKUP(B174,'Small Pricelist'!A:L,2,0)</f>
        <v>SERVO SUPER 20W-40 MG-20 X 1 L</v>
      </c>
      <c r="E174" s="1" t="s">
        <v>14</v>
      </c>
      <c r="F174">
        <f>VLOOKUP(B174,'Small Pricelist'!A:L,3,0)</f>
        <v>347</v>
      </c>
      <c r="G174" s="1" t="s">
        <v>14</v>
      </c>
      <c r="H174">
        <f>VLOOKUP(B174,'Small Pricelist'!A:L,4,0)</f>
        <v>278.77980000000002</v>
      </c>
      <c r="I174" s="1" t="s">
        <v>14</v>
      </c>
      <c r="J174">
        <f>VLOOKUP(B174,'Small Pricelist'!A:L,5,0)</f>
        <v>4</v>
      </c>
      <c r="K174" s="1" t="s">
        <v>14</v>
      </c>
      <c r="L174">
        <f>VLOOKUP(B174,'Small Pricelist'!A:L,6,0)</f>
        <v>0</v>
      </c>
      <c r="M174" s="1" t="s">
        <v>14</v>
      </c>
      <c r="N174">
        <f>VLOOKUP(B174,'Small Pricelist'!A:L,7,0)</f>
        <v>0</v>
      </c>
      <c r="O174" s="1" t="s">
        <v>14</v>
      </c>
      <c r="P174">
        <f>VLOOKUP(B174,'Small Pricelist'!A:L,8,0)</f>
        <v>274.0598</v>
      </c>
      <c r="Q174" s="1" t="s">
        <v>14</v>
      </c>
      <c r="R174">
        <f>VLOOKUP(B174,'Small Pricelist'!A:L,9,0)</f>
        <v>72.940200000000004</v>
      </c>
      <c r="S174" s="1" t="s">
        <v>14</v>
      </c>
      <c r="T174">
        <f>VLOOKUP(B174,'Small Pricelist'!A:L,10,0)</f>
        <v>72.940200000000004</v>
      </c>
      <c r="U174" s="1" t="s">
        <v>14</v>
      </c>
      <c r="V174">
        <f>VLOOKUP(B174,'Small Pricelist'!A:L,11,0)</f>
        <v>26.614702338686669</v>
      </c>
      <c r="W174" s="1" t="s">
        <v>14</v>
      </c>
      <c r="X174">
        <f>VLOOKUP(B174,'Small Pricelist'!A:L,12,0)</f>
        <v>5481.1960000000036</v>
      </c>
      <c r="Y174" s="1" t="s">
        <v>12</v>
      </c>
      <c r="Z174" s="25" t="str">
        <f t="shared" si="2"/>
        <v>&lt;tr&gt; &lt;td&gt;7485184&lt;/td&gt;&lt;td&gt;SERVO SUPER 20W-40 MG-20 X 1 L&lt;/td&gt;&lt;td&gt;347&lt;/td&gt;&lt;td&gt;278.7798&lt;/td&gt;&lt;td&gt;4&lt;/td&gt;&lt;td&gt;0&lt;/td&gt;&lt;td&gt;0&lt;/td&gt;&lt;td&gt;274.0598&lt;/td&gt;&lt;td&gt;72.9402&lt;/td&gt;&lt;td&gt;72.9402&lt;/td&gt;&lt;td&gt;26.6147023386867&lt;/td&gt;&lt;td&gt;5481.196&lt;/td&gt;&lt;/tr&gt;</v>
      </c>
    </row>
    <row r="175" spans="1:26" x14ac:dyDescent="0.3">
      <c r="A175" s="1" t="s">
        <v>13</v>
      </c>
      <c r="B175">
        <f>'Small Pricelist'!A174</f>
        <v>7485234</v>
      </c>
      <c r="C175" s="1" t="s">
        <v>14</v>
      </c>
      <c r="D175" t="str">
        <f>VLOOKUP(B175,'Small Pricelist'!A:L,2,0)</f>
        <v>SERVO SUPER 20W-40 MG-4x5L - HDPE</v>
      </c>
      <c r="E175" s="1" t="s">
        <v>14</v>
      </c>
      <c r="F175">
        <f>VLOOKUP(B175,'Small Pricelist'!A:L,3,0)</f>
        <v>1730</v>
      </c>
      <c r="G175" s="1" t="s">
        <v>14</v>
      </c>
      <c r="H175">
        <f>VLOOKUP(B175,'Small Pricelist'!A:L,4,0)</f>
        <v>1381.405</v>
      </c>
      <c r="I175" s="1" t="s">
        <v>14</v>
      </c>
      <c r="J175">
        <f>VLOOKUP(B175,'Small Pricelist'!A:L,5,0)</f>
        <v>19</v>
      </c>
      <c r="K175" s="1" t="s">
        <v>14</v>
      </c>
      <c r="L175">
        <f>VLOOKUP(B175,'Small Pricelist'!A:L,6,0)</f>
        <v>0</v>
      </c>
      <c r="M175" s="1" t="s">
        <v>14</v>
      </c>
      <c r="N175">
        <f>VLOOKUP(B175,'Small Pricelist'!A:L,7,0)</f>
        <v>0</v>
      </c>
      <c r="O175" s="1" t="s">
        <v>14</v>
      </c>
      <c r="P175">
        <f>VLOOKUP(B175,'Small Pricelist'!A:L,8,0)</f>
        <v>1269.3050000000001</v>
      </c>
      <c r="Q175" s="1" t="s">
        <v>14</v>
      </c>
      <c r="R175">
        <f>VLOOKUP(B175,'Small Pricelist'!A:L,9,0)</f>
        <v>460.69499999999994</v>
      </c>
      <c r="S175" s="1" t="s">
        <v>14</v>
      </c>
      <c r="T175">
        <f>VLOOKUP(B175,'Small Pricelist'!A:L,10,0)</f>
        <v>92.138999999999982</v>
      </c>
      <c r="U175" s="1" t="s">
        <v>14</v>
      </c>
      <c r="V175">
        <f>VLOOKUP(B175,'Small Pricelist'!A:L,11,0)</f>
        <v>36.295059107149179</v>
      </c>
      <c r="W175" s="1" t="s">
        <v>14</v>
      </c>
      <c r="X175">
        <f>VLOOKUP(B175,'Small Pricelist'!A:L,12,0)</f>
        <v>5077.2200000000039</v>
      </c>
      <c r="Y175" s="1" t="s">
        <v>12</v>
      </c>
      <c r="Z175" s="25" t="str">
        <f t="shared" si="2"/>
        <v>&lt;tr&gt; &lt;td&gt;7485234&lt;/td&gt;&lt;td&gt;SERVO SUPER 20W-40 MG-4x5L - HDPE&lt;/td&gt;&lt;td&gt;1730&lt;/td&gt;&lt;td&gt;1381.405&lt;/td&gt;&lt;td&gt;19&lt;/td&gt;&lt;td&gt;0&lt;/td&gt;&lt;td&gt;0&lt;/td&gt;&lt;td&gt;1269.305&lt;/td&gt;&lt;td&gt;460.695&lt;/td&gt;&lt;td&gt;92.139&lt;/td&gt;&lt;td&gt;36.2950591071492&lt;/td&gt;&lt;td&gt;5077.22&lt;/td&gt;&lt;/tr&gt;</v>
      </c>
    </row>
    <row r="176" spans="1:26" x14ac:dyDescent="0.3">
      <c r="A176" s="1" t="s">
        <v>13</v>
      </c>
      <c r="B176">
        <f>'Small Pricelist'!A175</f>
        <v>7485242</v>
      </c>
      <c r="C176" s="1" t="s">
        <v>14</v>
      </c>
      <c r="D176" t="str">
        <f>VLOOKUP(B176,'Small Pricelist'!A:L,2,0)</f>
        <v>SERVO SUPER 20W-40 MG-10 L</v>
      </c>
      <c r="E176" s="1" t="s">
        <v>14</v>
      </c>
      <c r="F176">
        <f>VLOOKUP(B176,'Small Pricelist'!A:L,3,0)</f>
        <v>3340</v>
      </c>
      <c r="G176" s="1" t="s">
        <v>14</v>
      </c>
      <c r="H176">
        <f>VLOOKUP(B176,'Small Pricelist'!A:L,4,0)</f>
        <v>2717.4240000000004</v>
      </c>
      <c r="I176" s="1" t="s">
        <v>14</v>
      </c>
      <c r="J176">
        <f>VLOOKUP(B176,'Small Pricelist'!A:L,5,0)</f>
        <v>19</v>
      </c>
      <c r="K176" s="1" t="s">
        <v>14</v>
      </c>
      <c r="L176">
        <f>VLOOKUP(B176,'Small Pricelist'!A:L,6,0)</f>
        <v>0</v>
      </c>
      <c r="M176" s="1" t="s">
        <v>14</v>
      </c>
      <c r="N176">
        <f>VLOOKUP(B176,'Small Pricelist'!A:L,7,0)</f>
        <v>0</v>
      </c>
      <c r="O176" s="1" t="s">
        <v>14</v>
      </c>
      <c r="P176">
        <f>VLOOKUP(B176,'Small Pricelist'!A:L,8,0)</f>
        <v>2493.2240000000002</v>
      </c>
      <c r="Q176" s="1" t="s">
        <v>14</v>
      </c>
      <c r="R176">
        <f>VLOOKUP(B176,'Small Pricelist'!A:L,9,0)</f>
        <v>846.77599999999984</v>
      </c>
      <c r="S176" s="1" t="s">
        <v>14</v>
      </c>
      <c r="T176">
        <f>VLOOKUP(B176,'Small Pricelist'!A:L,10,0)</f>
        <v>84.677599999999984</v>
      </c>
      <c r="U176" s="1" t="s">
        <v>14</v>
      </c>
      <c r="V176">
        <f>VLOOKUP(B176,'Small Pricelist'!A:L,11,0)</f>
        <v>33.963093568808887</v>
      </c>
      <c r="W176" s="1" t="s">
        <v>14</v>
      </c>
      <c r="X176">
        <f>VLOOKUP(B176,'Small Pricelist'!A:L,12,0)</f>
        <v>2493.2240000000011</v>
      </c>
      <c r="Y176" s="1" t="s">
        <v>12</v>
      </c>
      <c r="Z176" s="25" t="str">
        <f t="shared" si="2"/>
        <v>&lt;tr&gt; &lt;td&gt;7485242&lt;/td&gt;&lt;td&gt;SERVO SUPER 20W-40 MG-10 L&lt;/td&gt;&lt;td&gt;3340&lt;/td&gt;&lt;td&gt;2717.424&lt;/td&gt;&lt;td&gt;19&lt;/td&gt;&lt;td&gt;0&lt;/td&gt;&lt;td&gt;0&lt;/td&gt;&lt;td&gt;2493.224&lt;/td&gt;&lt;td&gt;846.776&lt;/td&gt;&lt;td&gt;84.6776&lt;/td&gt;&lt;td&gt;33.9630935688089&lt;/td&gt;&lt;td&gt;2493.224&lt;/td&gt;&lt;/tr&gt;</v>
      </c>
    </row>
    <row r="177" spans="1:26" x14ac:dyDescent="0.3">
      <c r="A177" s="1" t="s">
        <v>13</v>
      </c>
      <c r="B177">
        <f>'Small Pricelist'!A176</f>
        <v>7485251</v>
      </c>
      <c r="C177" s="1" t="s">
        <v>14</v>
      </c>
      <c r="D177" t="str">
        <f>VLOOKUP(B177,'Small Pricelist'!A:L,2,0)</f>
        <v>SERVO SUPER 20W-40 MG-7.5 L</v>
      </c>
      <c r="E177" s="1" t="s">
        <v>14</v>
      </c>
      <c r="F177">
        <f>VLOOKUP(B177,'Small Pricelist'!A:L,3,0)</f>
        <v>2514</v>
      </c>
      <c r="G177" s="1" t="s">
        <v>14</v>
      </c>
      <c r="H177">
        <f>VLOOKUP(B177,'Small Pricelist'!A:L,4,0)</f>
        <v>2049.9156000000003</v>
      </c>
      <c r="I177" s="1" t="s">
        <v>14</v>
      </c>
      <c r="J177">
        <f>VLOOKUP(B177,'Small Pricelist'!A:L,5,0)</f>
        <v>19</v>
      </c>
      <c r="K177" s="1" t="s">
        <v>14</v>
      </c>
      <c r="L177">
        <f>VLOOKUP(B177,'Small Pricelist'!A:L,6,0)</f>
        <v>0</v>
      </c>
      <c r="M177" s="1" t="s">
        <v>14</v>
      </c>
      <c r="N177">
        <f>VLOOKUP(B177,'Small Pricelist'!A:L,7,0)</f>
        <v>0</v>
      </c>
      <c r="O177" s="1" t="s">
        <v>14</v>
      </c>
      <c r="P177">
        <f>VLOOKUP(B177,'Small Pricelist'!A:L,8,0)</f>
        <v>1881.7656000000002</v>
      </c>
      <c r="Q177" s="1" t="s">
        <v>14</v>
      </c>
      <c r="R177">
        <f>VLOOKUP(B177,'Small Pricelist'!A:L,9,0)</f>
        <v>632.23439999999982</v>
      </c>
      <c r="S177" s="1" t="s">
        <v>14</v>
      </c>
      <c r="T177">
        <f>VLOOKUP(B177,'Small Pricelist'!A:L,10,0)</f>
        <v>84.297919999999976</v>
      </c>
      <c r="U177" s="1" t="s">
        <v>14</v>
      </c>
      <c r="V177">
        <f>VLOOKUP(B177,'Small Pricelist'!A:L,11,0)</f>
        <v>33.59793589594792</v>
      </c>
      <c r="W177" s="1" t="s">
        <v>14</v>
      </c>
      <c r="X177">
        <f>VLOOKUP(B177,'Small Pricelist'!A:L,12,0)</f>
        <v>1881.7656000000015</v>
      </c>
      <c r="Y177" s="1" t="s">
        <v>12</v>
      </c>
      <c r="Z177" s="25" t="str">
        <f t="shared" si="2"/>
        <v>&lt;tr&gt; &lt;td&gt;7485251&lt;/td&gt;&lt;td&gt;SERVO SUPER 20W-40 MG-7.5 L&lt;/td&gt;&lt;td&gt;2514&lt;/td&gt;&lt;td&gt;2049.9156&lt;/td&gt;&lt;td&gt;19&lt;/td&gt;&lt;td&gt;0&lt;/td&gt;&lt;td&gt;0&lt;/td&gt;&lt;td&gt;1881.7656&lt;/td&gt;&lt;td&gt;632.2344&lt;/td&gt;&lt;td&gt;84.29792&lt;/td&gt;&lt;td&gt;33.5979358959479&lt;/td&gt;&lt;td&gt;1881.7656&lt;/td&gt;&lt;/tr&gt;</v>
      </c>
    </row>
    <row r="178" spans="1:26" x14ac:dyDescent="0.3">
      <c r="A178" s="1" t="s">
        <v>13</v>
      </c>
      <c r="B178">
        <f>'Small Pricelist'!A177</f>
        <v>7485265</v>
      </c>
      <c r="C178" s="1" t="s">
        <v>14</v>
      </c>
      <c r="D178" t="str">
        <f>VLOOKUP(B178,'Small Pricelist'!A:L,2,0)</f>
        <v>SERVO SUPER 20W-40 MG-20 L</v>
      </c>
      <c r="E178" s="1" t="s">
        <v>14</v>
      </c>
      <c r="F178">
        <f>VLOOKUP(B178,'Small Pricelist'!A:L,3,0)</f>
        <v>6640</v>
      </c>
      <c r="G178" s="1" t="s">
        <v>14</v>
      </c>
      <c r="H178">
        <f>VLOOKUP(B178,'Small Pricelist'!A:L,4,0)</f>
        <v>5337.8959999999997</v>
      </c>
      <c r="I178" s="1" t="s">
        <v>14</v>
      </c>
      <c r="J178">
        <f>VLOOKUP(B178,'Small Pricelist'!A:L,5,0)</f>
        <v>19</v>
      </c>
      <c r="K178" s="1" t="s">
        <v>14</v>
      </c>
      <c r="L178">
        <f>VLOOKUP(B178,'Small Pricelist'!A:L,6,0)</f>
        <v>0</v>
      </c>
      <c r="M178" s="1" t="s">
        <v>14</v>
      </c>
      <c r="N178">
        <f>VLOOKUP(B178,'Small Pricelist'!A:L,7,0)</f>
        <v>0</v>
      </c>
      <c r="O178" s="1" t="s">
        <v>14</v>
      </c>
      <c r="P178">
        <f>VLOOKUP(B178,'Small Pricelist'!A:L,8,0)</f>
        <v>4889.4960000000001</v>
      </c>
      <c r="Q178" s="1" t="s">
        <v>14</v>
      </c>
      <c r="R178">
        <f>VLOOKUP(B178,'Small Pricelist'!A:L,9,0)</f>
        <v>1750.5039999999999</v>
      </c>
      <c r="S178" s="1" t="s">
        <v>14</v>
      </c>
      <c r="T178">
        <f>VLOOKUP(B178,'Small Pricelist'!A:L,10,0)</f>
        <v>87.525199999999984</v>
      </c>
      <c r="U178" s="1" t="s">
        <v>14</v>
      </c>
      <c r="V178">
        <f>VLOOKUP(B178,'Small Pricelist'!A:L,11,0)</f>
        <v>35.801317763630443</v>
      </c>
      <c r="W178" s="1" t="s">
        <v>14</v>
      </c>
      <c r="X178">
        <f>VLOOKUP(B178,'Small Pricelist'!A:L,12,0)</f>
        <v>4889.4960000000037</v>
      </c>
      <c r="Y178" s="1" t="s">
        <v>12</v>
      </c>
      <c r="Z178" s="25" t="str">
        <f t="shared" si="2"/>
        <v>&lt;tr&gt; &lt;td&gt;7485265&lt;/td&gt;&lt;td&gt;SERVO SUPER 20W-40 MG-20 L&lt;/td&gt;&lt;td&gt;6640&lt;/td&gt;&lt;td&gt;5337.896&lt;/td&gt;&lt;td&gt;19&lt;/td&gt;&lt;td&gt;0&lt;/td&gt;&lt;td&gt;0&lt;/td&gt;&lt;td&gt;4889.496&lt;/td&gt;&lt;td&gt;1750.504&lt;/td&gt;&lt;td&gt;87.5252&lt;/td&gt;&lt;td&gt;35.8013177636304&lt;/td&gt;&lt;td&gt;4889.496&lt;/td&gt;&lt;/tr&gt;</v>
      </c>
    </row>
    <row r="179" spans="1:26" x14ac:dyDescent="0.3">
      <c r="A179" s="1" t="s">
        <v>13</v>
      </c>
      <c r="B179">
        <f>'Small Pricelist'!A178</f>
        <v>7489184</v>
      </c>
      <c r="C179" s="1" t="s">
        <v>14</v>
      </c>
      <c r="D179" t="str">
        <f>VLOOKUP(B179,'Small Pricelist'!A:L,2,0)</f>
        <v>SERVO PRIDE XL PLUS 15W40-20 X 1 L</v>
      </c>
      <c r="E179" s="1" t="s">
        <v>14</v>
      </c>
      <c r="F179">
        <f>VLOOKUP(B179,'Small Pricelist'!A:L,3,0)</f>
        <v>440</v>
      </c>
      <c r="G179" s="1" t="s">
        <v>14</v>
      </c>
      <c r="H179">
        <f>VLOOKUP(B179,'Small Pricelist'!A:L,4,0)</f>
        <v>355.65199999999999</v>
      </c>
      <c r="I179" s="1" t="s">
        <v>14</v>
      </c>
      <c r="J179">
        <f>VLOOKUP(B179,'Small Pricelist'!A:L,5,0)</f>
        <v>34</v>
      </c>
      <c r="K179" s="1" t="s">
        <v>14</v>
      </c>
      <c r="L179">
        <f>VLOOKUP(B179,'Small Pricelist'!A:L,6,0)</f>
        <v>0</v>
      </c>
      <c r="M179" s="1" t="s">
        <v>14</v>
      </c>
      <c r="N179">
        <f>VLOOKUP(B179,'Small Pricelist'!A:L,7,0)</f>
        <v>0</v>
      </c>
      <c r="O179" s="1" t="s">
        <v>14</v>
      </c>
      <c r="P179">
        <f>VLOOKUP(B179,'Small Pricelist'!A:L,8,0)</f>
        <v>315.53199999999998</v>
      </c>
      <c r="Q179" s="1" t="s">
        <v>14</v>
      </c>
      <c r="R179">
        <f>VLOOKUP(B179,'Small Pricelist'!A:L,9,0)</f>
        <v>124.46800000000002</v>
      </c>
      <c r="S179" s="1" t="s">
        <v>14</v>
      </c>
      <c r="T179">
        <f>VLOOKUP(B179,'Small Pricelist'!A:L,10,0)</f>
        <v>124.46800000000002</v>
      </c>
      <c r="U179" s="1" t="s">
        <v>14</v>
      </c>
      <c r="V179">
        <f>VLOOKUP(B179,'Small Pricelist'!A:L,11,0)</f>
        <v>39.447029144429095</v>
      </c>
      <c r="W179" s="1" t="s">
        <v>14</v>
      </c>
      <c r="X179">
        <f>VLOOKUP(B179,'Small Pricelist'!A:L,12,0)</f>
        <v>6310.640000000004</v>
      </c>
      <c r="Y179" s="1" t="s">
        <v>12</v>
      </c>
      <c r="Z179" s="25" t="str">
        <f t="shared" si="2"/>
        <v>&lt;tr&gt; &lt;td&gt;7489184&lt;/td&gt;&lt;td&gt;SERVO PRIDE XL PLUS 15W40-20 X 1 L&lt;/td&gt;&lt;td&gt;440&lt;/td&gt;&lt;td&gt;355.652&lt;/td&gt;&lt;td&gt;34&lt;/td&gt;&lt;td&gt;0&lt;/td&gt;&lt;td&gt;0&lt;/td&gt;&lt;td&gt;315.532&lt;/td&gt;&lt;td&gt;124.468&lt;/td&gt;&lt;td&gt;124.468&lt;/td&gt;&lt;td&gt;39.4470291444291&lt;/td&gt;&lt;td&gt;6310.64&lt;/td&gt;&lt;/tr&gt;</v>
      </c>
    </row>
    <row r="180" spans="1:26" x14ac:dyDescent="0.3">
      <c r="A180" s="1" t="s">
        <v>13</v>
      </c>
      <c r="B180">
        <f>'Small Pricelist'!A179</f>
        <v>7489203</v>
      </c>
      <c r="C180" s="1" t="s">
        <v>14</v>
      </c>
      <c r="D180" t="str">
        <f>VLOOKUP(B180,'Small Pricelist'!A:L,2,0)</f>
        <v>SERVO PRIDE XL PLUS 15W40-4X3 L</v>
      </c>
      <c r="E180" s="1" t="s">
        <v>14</v>
      </c>
      <c r="F180">
        <f>VLOOKUP(B180,'Small Pricelist'!A:L,3,0)</f>
        <v>1310</v>
      </c>
      <c r="G180" s="1" t="s">
        <v>14</v>
      </c>
      <c r="H180">
        <f>VLOOKUP(B180,'Small Pricelist'!A:L,4,0)</f>
        <v>1060.3139999999999</v>
      </c>
      <c r="I180" s="1" t="s">
        <v>14</v>
      </c>
      <c r="J180">
        <f>VLOOKUP(B180,'Small Pricelist'!A:L,5,0)</f>
        <v>34</v>
      </c>
      <c r="K180" s="1" t="s">
        <v>14</v>
      </c>
      <c r="L180">
        <f>VLOOKUP(B180,'Small Pricelist'!A:L,6,0)</f>
        <v>0</v>
      </c>
      <c r="M180" s="1" t="s">
        <v>14</v>
      </c>
      <c r="N180">
        <f>VLOOKUP(B180,'Small Pricelist'!A:L,7,0)</f>
        <v>0</v>
      </c>
      <c r="O180" s="1" t="s">
        <v>14</v>
      </c>
      <c r="P180">
        <f>VLOOKUP(B180,'Small Pricelist'!A:L,8,0)</f>
        <v>939.95399999999995</v>
      </c>
      <c r="Q180" s="1" t="s">
        <v>14</v>
      </c>
      <c r="R180">
        <f>VLOOKUP(B180,'Small Pricelist'!A:L,9,0)</f>
        <v>370.04600000000005</v>
      </c>
      <c r="S180" s="1" t="s">
        <v>14</v>
      </c>
      <c r="T180">
        <f>VLOOKUP(B180,'Small Pricelist'!A:L,10,0)</f>
        <v>123.3486666666667</v>
      </c>
      <c r="U180" s="1" t="s">
        <v>14</v>
      </c>
      <c r="V180">
        <f>VLOOKUP(B180,'Small Pricelist'!A:L,11,0)</f>
        <v>39.368522289388636</v>
      </c>
      <c r="W180" s="1" t="s">
        <v>14</v>
      </c>
      <c r="X180">
        <f>VLOOKUP(B180,'Small Pricelist'!A:L,12,0)</f>
        <v>3759.8160000000016</v>
      </c>
      <c r="Y180" s="1" t="s">
        <v>12</v>
      </c>
      <c r="Z180" s="25" t="str">
        <f t="shared" si="2"/>
        <v>&lt;tr&gt; &lt;td&gt;7489203&lt;/td&gt;&lt;td&gt;SERVO PRIDE XL PLUS 15W40-4X3 L&lt;/td&gt;&lt;td&gt;1310&lt;/td&gt;&lt;td&gt;1060.314&lt;/td&gt;&lt;td&gt;34&lt;/td&gt;&lt;td&gt;0&lt;/td&gt;&lt;td&gt;0&lt;/td&gt;&lt;td&gt;939.954&lt;/td&gt;&lt;td&gt;370.046&lt;/td&gt;&lt;td&gt;123.348666666667&lt;/td&gt;&lt;td&gt;39.3685222893886&lt;/td&gt;&lt;td&gt;3759.816&lt;/td&gt;&lt;/tr&gt;</v>
      </c>
    </row>
    <row r="181" spans="1:26" x14ac:dyDescent="0.3">
      <c r="A181" s="1" t="s">
        <v>13</v>
      </c>
      <c r="B181">
        <f>'Small Pricelist'!A180</f>
        <v>7489234</v>
      </c>
      <c r="C181" s="1" t="s">
        <v>14</v>
      </c>
      <c r="D181" t="str">
        <f>VLOOKUP(B181,'Small Pricelist'!A:L,2,0)</f>
        <v>SERVO PRIDE XL PLUS 15W40-4x5L - HDPE</v>
      </c>
      <c r="E181" s="1" t="s">
        <v>14</v>
      </c>
      <c r="F181">
        <f>VLOOKUP(B181,'Small Pricelist'!A:L,3,0)</f>
        <v>2150</v>
      </c>
      <c r="G181" s="1" t="s">
        <v>14</v>
      </c>
      <c r="H181">
        <f>VLOOKUP(B181,'Small Pricelist'!A:L,4,0)</f>
        <v>1760.85</v>
      </c>
      <c r="I181" s="1" t="s">
        <v>14</v>
      </c>
      <c r="J181">
        <f>VLOOKUP(B181,'Small Pricelist'!A:L,5,0)</f>
        <v>44</v>
      </c>
      <c r="K181" s="1" t="s">
        <v>14</v>
      </c>
      <c r="L181">
        <f>VLOOKUP(B181,'Small Pricelist'!A:L,6,0)</f>
        <v>0</v>
      </c>
      <c r="M181" s="1" t="s">
        <v>14</v>
      </c>
      <c r="N181">
        <f>VLOOKUP(B181,'Small Pricelist'!A:L,7,0)</f>
        <v>0</v>
      </c>
      <c r="O181" s="1" t="s">
        <v>14</v>
      </c>
      <c r="P181">
        <f>VLOOKUP(B181,'Small Pricelist'!A:L,8,0)</f>
        <v>1501.25</v>
      </c>
      <c r="Q181" s="1" t="s">
        <v>14</v>
      </c>
      <c r="R181">
        <f>VLOOKUP(B181,'Small Pricelist'!A:L,9,0)</f>
        <v>648.75</v>
      </c>
      <c r="S181" s="1" t="s">
        <v>14</v>
      </c>
      <c r="T181">
        <f>VLOOKUP(B181,'Small Pricelist'!A:L,10,0)</f>
        <v>129.75</v>
      </c>
      <c r="U181" s="1" t="s">
        <v>14</v>
      </c>
      <c r="V181">
        <f>VLOOKUP(B181,'Small Pricelist'!A:L,11,0)</f>
        <v>43.213988343047461</v>
      </c>
      <c r="W181" s="1" t="s">
        <v>14</v>
      </c>
      <c r="X181">
        <f>VLOOKUP(B181,'Small Pricelist'!A:L,12,0)</f>
        <v>6005.0000000000036</v>
      </c>
      <c r="Y181" s="1" t="s">
        <v>12</v>
      </c>
      <c r="Z181" s="25" t="str">
        <f t="shared" si="2"/>
        <v>&lt;tr&gt; &lt;td&gt;7489234&lt;/td&gt;&lt;td&gt;SERVO PRIDE XL PLUS 15W40-4x5L - HDPE&lt;/td&gt;&lt;td&gt;2150&lt;/td&gt;&lt;td&gt;1760.85&lt;/td&gt;&lt;td&gt;44&lt;/td&gt;&lt;td&gt;0&lt;/td&gt;&lt;td&gt;0&lt;/td&gt;&lt;td&gt;1501.25&lt;/td&gt;&lt;td&gt;648.75&lt;/td&gt;&lt;td&gt;129.75&lt;/td&gt;&lt;td&gt;43.2139883430475&lt;/td&gt;&lt;td&gt;6005&lt;/td&gt;&lt;/tr&gt;</v>
      </c>
    </row>
    <row r="182" spans="1:26" x14ac:dyDescent="0.3">
      <c r="A182" s="1" t="s">
        <v>13</v>
      </c>
      <c r="B182">
        <f>'Small Pricelist'!A181</f>
        <v>7489241</v>
      </c>
      <c r="C182" s="1" t="s">
        <v>14</v>
      </c>
      <c r="D182" t="str">
        <f>VLOOKUP(B182,'Small Pricelist'!A:L,2,0)</f>
        <v>SERVO PRIDE XL PLUS 15W40-10L PROMO</v>
      </c>
      <c r="E182" s="1" t="s">
        <v>14</v>
      </c>
      <c r="F182">
        <f>VLOOKUP(B182,'Small Pricelist'!A:L,3,0)</f>
        <v>4250</v>
      </c>
      <c r="G182" s="1" t="s">
        <v>14</v>
      </c>
      <c r="H182">
        <f>VLOOKUP(B182,'Small Pricelist'!A:L,4,0)</f>
        <v>3498.1750000000002</v>
      </c>
      <c r="I182" s="1" t="s">
        <v>14</v>
      </c>
      <c r="J182">
        <f>VLOOKUP(B182,'Small Pricelist'!A:L,5,0)</f>
        <v>44</v>
      </c>
      <c r="K182" s="1" t="s">
        <v>14</v>
      </c>
      <c r="L182">
        <f>VLOOKUP(B182,'Small Pricelist'!A:L,6,0)</f>
        <v>0</v>
      </c>
      <c r="M182" s="1" t="s">
        <v>14</v>
      </c>
      <c r="N182">
        <f>VLOOKUP(B182,'Small Pricelist'!A:L,7,0)</f>
        <v>0</v>
      </c>
      <c r="O182" s="1" t="s">
        <v>14</v>
      </c>
      <c r="P182">
        <f>VLOOKUP(B182,'Small Pricelist'!A:L,8,0)</f>
        <v>2978.9750000000004</v>
      </c>
      <c r="Q182" s="1" t="s">
        <v>14</v>
      </c>
      <c r="R182">
        <f>VLOOKUP(B182,'Small Pricelist'!A:L,9,0)</f>
        <v>1271.0249999999996</v>
      </c>
      <c r="S182" s="1" t="s">
        <v>14</v>
      </c>
      <c r="T182">
        <f>VLOOKUP(B182,'Small Pricelist'!A:L,10,0)</f>
        <v>127.10249999999996</v>
      </c>
      <c r="U182" s="1" t="s">
        <v>14</v>
      </c>
      <c r="V182">
        <f>VLOOKUP(B182,'Small Pricelist'!A:L,11,0)</f>
        <v>42.666521202762681</v>
      </c>
      <c r="W182" s="1" t="s">
        <v>14</v>
      </c>
      <c r="X182">
        <f>VLOOKUP(B182,'Small Pricelist'!A:L,12,0)</f>
        <v>2978.9750000000004</v>
      </c>
      <c r="Y182" s="1" t="s">
        <v>12</v>
      </c>
      <c r="Z182" s="25" t="str">
        <f t="shared" si="2"/>
        <v>&lt;tr&gt; &lt;td&gt;7489241&lt;/td&gt;&lt;td&gt;SERVO PRIDE XL PLUS 15W40-10L PROMO&lt;/td&gt;&lt;td&gt;4250&lt;/td&gt;&lt;td&gt;3498.175&lt;/td&gt;&lt;td&gt;44&lt;/td&gt;&lt;td&gt;0&lt;/td&gt;&lt;td&gt;0&lt;/td&gt;&lt;td&gt;2978.975&lt;/td&gt;&lt;td&gt;1271.025&lt;/td&gt;&lt;td&gt;127.1025&lt;/td&gt;&lt;td&gt;42.6665212027627&lt;/td&gt;&lt;td&gt;2978.975&lt;/td&gt;&lt;/tr&gt;</v>
      </c>
    </row>
    <row r="183" spans="1:26" x14ac:dyDescent="0.3">
      <c r="A183" s="1" t="s">
        <v>13</v>
      </c>
      <c r="B183">
        <f>'Small Pricelist'!A182</f>
        <v>7489250</v>
      </c>
      <c r="C183" s="1" t="s">
        <v>14</v>
      </c>
      <c r="D183" t="str">
        <f>VLOOKUP(B183,'Small Pricelist'!A:L,2,0)</f>
        <v>SERVO PRIDE XL PLUS 15W40-7.5L PROMO</v>
      </c>
      <c r="E183" s="1" t="s">
        <v>14</v>
      </c>
      <c r="F183">
        <f>VLOOKUP(B183,'Small Pricelist'!A:L,3,0)</f>
        <v>3201</v>
      </c>
      <c r="G183" s="1" t="s">
        <v>14</v>
      </c>
      <c r="H183">
        <f>VLOOKUP(B183,'Small Pricelist'!A:L,4,0)</f>
        <v>2631.5420999999997</v>
      </c>
      <c r="I183" s="1" t="s">
        <v>14</v>
      </c>
      <c r="J183">
        <f>VLOOKUP(B183,'Small Pricelist'!A:L,5,0)</f>
        <v>44</v>
      </c>
      <c r="K183" s="1" t="s">
        <v>14</v>
      </c>
      <c r="L183">
        <f>VLOOKUP(B183,'Small Pricelist'!A:L,6,0)</f>
        <v>0</v>
      </c>
      <c r="M183" s="1" t="s">
        <v>14</v>
      </c>
      <c r="N183">
        <f>VLOOKUP(B183,'Small Pricelist'!A:L,7,0)</f>
        <v>0</v>
      </c>
      <c r="O183" s="1" t="s">
        <v>14</v>
      </c>
      <c r="P183">
        <f>VLOOKUP(B183,'Small Pricelist'!A:L,8,0)</f>
        <v>2242.1420999999996</v>
      </c>
      <c r="Q183" s="1" t="s">
        <v>14</v>
      </c>
      <c r="R183">
        <f>VLOOKUP(B183,'Small Pricelist'!A:L,9,0)</f>
        <v>958.85790000000043</v>
      </c>
      <c r="S183" s="1" t="s">
        <v>14</v>
      </c>
      <c r="T183">
        <f>VLOOKUP(B183,'Small Pricelist'!A:L,10,0)</f>
        <v>127.84772000000009</v>
      </c>
      <c r="U183" s="1" t="s">
        <v>14</v>
      </c>
      <c r="V183">
        <f>VLOOKUP(B183,'Small Pricelist'!A:L,11,0)</f>
        <v>42.765260060903394</v>
      </c>
      <c r="W183" s="1" t="s">
        <v>14</v>
      </c>
      <c r="X183">
        <f>VLOOKUP(B183,'Small Pricelist'!A:L,12,0)</f>
        <v>2242.1420999999996</v>
      </c>
      <c r="Y183" s="1" t="s">
        <v>12</v>
      </c>
      <c r="Z183" s="25" t="str">
        <f t="shared" si="2"/>
        <v>&lt;tr&gt; &lt;td&gt;7489250&lt;/td&gt;&lt;td&gt;SERVO PRIDE XL PLUS 15W40-7.5L PROMO&lt;/td&gt;&lt;td&gt;3201&lt;/td&gt;&lt;td&gt;2631.5421&lt;/td&gt;&lt;td&gt;44&lt;/td&gt;&lt;td&gt;0&lt;/td&gt;&lt;td&gt;0&lt;/td&gt;&lt;td&gt;2242.1421&lt;/td&gt;&lt;td&gt;958.8579&lt;/td&gt;&lt;td&gt;127.84772&lt;/td&gt;&lt;td&gt;42.7652600609034&lt;/td&gt;&lt;td&gt;2242.1421&lt;/td&gt;&lt;/tr&gt;</v>
      </c>
    </row>
    <row r="184" spans="1:26" x14ac:dyDescent="0.3">
      <c r="A184" s="1" t="s">
        <v>13</v>
      </c>
      <c r="B184">
        <f>'Small Pricelist'!A183</f>
        <v>7489253</v>
      </c>
      <c r="C184" s="1" t="s">
        <v>14</v>
      </c>
      <c r="D184" t="str">
        <f>VLOOKUP(B184,'Small Pricelist'!A:L,2,0)</f>
        <v>SERVO PRIDE XL PLUS 15W40-15L PROMO</v>
      </c>
      <c r="E184" s="1" t="s">
        <v>14</v>
      </c>
      <c r="F184">
        <f>VLOOKUP(B184,'Small Pricelist'!A:L,3,0)</f>
        <v>6350</v>
      </c>
      <c r="G184" s="1" t="s">
        <v>14</v>
      </c>
      <c r="H184">
        <f>VLOOKUP(B184,'Small Pricelist'!A:L,4,0)</f>
        <v>5211.4449999999997</v>
      </c>
      <c r="I184" s="1" t="s">
        <v>14</v>
      </c>
      <c r="J184">
        <f>VLOOKUP(B184,'Small Pricelist'!A:L,5,0)</f>
        <v>44</v>
      </c>
      <c r="K184" s="1" t="s">
        <v>14</v>
      </c>
      <c r="L184">
        <f>VLOOKUP(B184,'Small Pricelist'!A:L,6,0)</f>
        <v>0</v>
      </c>
      <c r="M184" s="1" t="s">
        <v>14</v>
      </c>
      <c r="N184">
        <f>VLOOKUP(B184,'Small Pricelist'!A:L,7,0)</f>
        <v>0</v>
      </c>
      <c r="O184" s="1" t="s">
        <v>14</v>
      </c>
      <c r="P184">
        <f>VLOOKUP(B184,'Small Pricelist'!A:L,8,0)</f>
        <v>4432.6449999999995</v>
      </c>
      <c r="Q184" s="1" t="s">
        <v>14</v>
      </c>
      <c r="R184">
        <f>VLOOKUP(B184,'Small Pricelist'!A:L,9,0)</f>
        <v>1917.3550000000005</v>
      </c>
      <c r="S184" s="1" t="s">
        <v>14</v>
      </c>
      <c r="T184">
        <f>VLOOKUP(B184,'Small Pricelist'!A:L,10,0)</f>
        <v>127.82366666666667</v>
      </c>
      <c r="U184" s="1" t="s">
        <v>14</v>
      </c>
      <c r="V184">
        <f>VLOOKUP(B184,'Small Pricelist'!A:L,11,0)</f>
        <v>43.255324980908703</v>
      </c>
      <c r="W184" s="1" t="s">
        <v>14</v>
      </c>
      <c r="X184">
        <f>VLOOKUP(B184,'Small Pricelist'!A:L,12,0)</f>
        <v>4432.6449999999995</v>
      </c>
      <c r="Y184" s="1" t="s">
        <v>12</v>
      </c>
      <c r="Z184" s="25" t="str">
        <f t="shared" si="2"/>
        <v>&lt;tr&gt; &lt;td&gt;7489253&lt;/td&gt;&lt;td&gt;SERVO PRIDE XL PLUS 15W40-15L PROMO&lt;/td&gt;&lt;td&gt;6350&lt;/td&gt;&lt;td&gt;5211.445&lt;/td&gt;&lt;td&gt;44&lt;/td&gt;&lt;td&gt;0&lt;/td&gt;&lt;td&gt;0&lt;/td&gt;&lt;td&gt;4432.645&lt;/td&gt;&lt;td&gt;1917.355&lt;/td&gt;&lt;td&gt;127.823666666667&lt;/td&gt;&lt;td&gt;43.2553249809087&lt;/td&gt;&lt;td&gt;4432.645&lt;/td&gt;&lt;/tr&gt;</v>
      </c>
    </row>
    <row r="185" spans="1:26" x14ac:dyDescent="0.3">
      <c r="A185" s="1" t="s">
        <v>13</v>
      </c>
      <c r="B185">
        <f>'Small Pricelist'!A184</f>
        <v>7489265</v>
      </c>
      <c r="C185" s="1" t="s">
        <v>14</v>
      </c>
      <c r="D185" t="str">
        <f>VLOOKUP(B185,'Small Pricelist'!A:L,2,0)</f>
        <v>SERVO PRIDE XL PLUS 15W40-20 L</v>
      </c>
      <c r="E185" s="1" t="s">
        <v>14</v>
      </c>
      <c r="F185">
        <f>VLOOKUP(B185,'Small Pricelist'!A:L,3,0)</f>
        <v>8400</v>
      </c>
      <c r="G185" s="1" t="s">
        <v>14</v>
      </c>
      <c r="H185">
        <f>VLOOKUP(B185,'Small Pricelist'!A:L,4,0)</f>
        <v>6932.52</v>
      </c>
      <c r="I185" s="1" t="s">
        <v>14</v>
      </c>
      <c r="J185">
        <f>VLOOKUP(B185,'Small Pricelist'!A:L,5,0)</f>
        <v>44</v>
      </c>
      <c r="K185" s="1" t="s">
        <v>14</v>
      </c>
      <c r="L185">
        <f>VLOOKUP(B185,'Small Pricelist'!A:L,6,0)</f>
        <v>0</v>
      </c>
      <c r="M185" s="1" t="s">
        <v>14</v>
      </c>
      <c r="N185">
        <f>VLOOKUP(B185,'Small Pricelist'!A:L,7,0)</f>
        <v>0</v>
      </c>
      <c r="O185" s="1" t="s">
        <v>14</v>
      </c>
      <c r="P185">
        <f>VLOOKUP(B185,'Small Pricelist'!A:L,8,0)</f>
        <v>5894.1200000000008</v>
      </c>
      <c r="Q185" s="1" t="s">
        <v>14</v>
      </c>
      <c r="R185">
        <f>VLOOKUP(B185,'Small Pricelist'!A:L,9,0)</f>
        <v>2505.8799999999992</v>
      </c>
      <c r="S185" s="1" t="s">
        <v>14</v>
      </c>
      <c r="T185">
        <f>VLOOKUP(B185,'Small Pricelist'!A:L,10,0)</f>
        <v>125.29399999999998</v>
      </c>
      <c r="U185" s="1" t="s">
        <v>14</v>
      </c>
      <c r="V185">
        <f>VLOOKUP(B185,'Small Pricelist'!A:L,11,0)</f>
        <v>42.514913167699312</v>
      </c>
      <c r="W185" s="1" t="s">
        <v>14</v>
      </c>
      <c r="X185">
        <f>VLOOKUP(B185,'Small Pricelist'!A:L,12,0)</f>
        <v>5894.1200000000044</v>
      </c>
      <c r="Y185" s="1" t="s">
        <v>12</v>
      </c>
      <c r="Z185" s="25" t="str">
        <f t="shared" si="2"/>
        <v>&lt;tr&gt; &lt;td&gt;7489265&lt;/td&gt;&lt;td&gt;SERVO PRIDE XL PLUS 15W40-20 L&lt;/td&gt;&lt;td&gt;8400&lt;/td&gt;&lt;td&gt;6932.52&lt;/td&gt;&lt;td&gt;44&lt;/td&gt;&lt;td&gt;0&lt;/td&gt;&lt;td&gt;0&lt;/td&gt;&lt;td&gt;5894.12&lt;/td&gt;&lt;td&gt;2505.88&lt;/td&gt;&lt;td&gt;125.294&lt;/td&gt;&lt;td&gt;42.5149131676993&lt;/td&gt;&lt;td&gt;5894.12&lt;/td&gt;&lt;/tr&gt;</v>
      </c>
    </row>
    <row r="186" spans="1:26" x14ac:dyDescent="0.3">
      <c r="A186" s="1" t="s">
        <v>13</v>
      </c>
      <c r="B186">
        <f>'Small Pricelist'!A185</f>
        <v>7494174</v>
      </c>
      <c r="C186" s="1" t="s">
        <v>14</v>
      </c>
      <c r="D186" t="str">
        <f>VLOOKUP(B186,'Small Pricelist'!A:L,2,0)</f>
        <v>SERVO SUP.MULT.GRD 20W-40-40X1/2L</v>
      </c>
      <c r="E186" s="1" t="s">
        <v>14</v>
      </c>
      <c r="F186">
        <f>VLOOKUP(B186,'Small Pricelist'!A:L,3,0)</f>
        <v>199</v>
      </c>
      <c r="G186" s="1" t="s">
        <v>14</v>
      </c>
      <c r="H186">
        <f>VLOOKUP(B186,'Small Pricelist'!A:L,4,0)</f>
        <v>166.16499999999999</v>
      </c>
      <c r="I186" s="1" t="s">
        <v>14</v>
      </c>
      <c r="J186">
        <f>VLOOKUP(B186,'Small Pricelist'!A:L,5,0)</f>
        <v>0</v>
      </c>
      <c r="K186" s="1" t="s">
        <v>14</v>
      </c>
      <c r="L186">
        <f>VLOOKUP(B186,'Small Pricelist'!A:L,6,0)</f>
        <v>0</v>
      </c>
      <c r="M186" s="1" t="s">
        <v>14</v>
      </c>
      <c r="N186">
        <f>VLOOKUP(B186,'Small Pricelist'!A:L,7,0)</f>
        <v>0</v>
      </c>
      <c r="O186" s="1" t="s">
        <v>14</v>
      </c>
      <c r="P186">
        <f>VLOOKUP(B186,'Small Pricelist'!A:L,8,0)</f>
        <v>166.16499999999999</v>
      </c>
      <c r="Q186" s="1" t="s">
        <v>14</v>
      </c>
      <c r="R186">
        <f>VLOOKUP(B186,'Small Pricelist'!A:L,9,0)</f>
        <v>32.835000000000008</v>
      </c>
      <c r="S186" s="1" t="s">
        <v>14</v>
      </c>
      <c r="T186">
        <f>VLOOKUP(B186,'Small Pricelist'!A:L,10,0)</f>
        <v>65.670000000000016</v>
      </c>
      <c r="U186" s="1" t="s">
        <v>14</v>
      </c>
      <c r="V186">
        <f>VLOOKUP(B186,'Small Pricelist'!A:L,11,0)</f>
        <v>19.760479041916174</v>
      </c>
      <c r="W186" s="1" t="s">
        <v>14</v>
      </c>
      <c r="X186">
        <f>VLOOKUP(B186,'Small Pricelist'!A:L,12,0)</f>
        <v>6646.6000000000031</v>
      </c>
      <c r="Y186" s="1" t="s">
        <v>12</v>
      </c>
      <c r="Z186" s="25" t="str">
        <f t="shared" si="2"/>
        <v>&lt;tr&gt; &lt;td&gt;7494174&lt;/td&gt;&lt;td&gt;SERVO SUP.MULT.GRD 20W-40-40X1/2L&lt;/td&gt;&lt;td&gt;199&lt;/td&gt;&lt;td&gt;166.165&lt;/td&gt;&lt;td&gt;0&lt;/td&gt;&lt;td&gt;0&lt;/td&gt;&lt;td&gt;0&lt;/td&gt;&lt;td&gt;166.165&lt;/td&gt;&lt;td&gt;32.835&lt;/td&gt;&lt;td&gt;65.67&lt;/td&gt;&lt;td&gt;19.7604790419162&lt;/td&gt;&lt;td&gt;6646.6&lt;/td&gt;&lt;/tr&gt;</v>
      </c>
    </row>
    <row r="187" spans="1:26" x14ac:dyDescent="0.3">
      <c r="A187" s="1" t="s">
        <v>13</v>
      </c>
      <c r="B187">
        <f>'Small Pricelist'!A186</f>
        <v>7494184</v>
      </c>
      <c r="C187" s="1" t="s">
        <v>14</v>
      </c>
      <c r="D187" t="str">
        <f>VLOOKUP(B187,'Small Pricelist'!A:L,2,0)</f>
        <v>SERVO SUP.MULT.GRD 20W-40-20 X 1 L</v>
      </c>
      <c r="E187" s="1" t="s">
        <v>14</v>
      </c>
      <c r="F187">
        <f>VLOOKUP(B187,'Small Pricelist'!A:L,3,0)</f>
        <v>375</v>
      </c>
      <c r="G187" s="1" t="s">
        <v>14</v>
      </c>
      <c r="H187">
        <f>VLOOKUP(B187,'Small Pricelist'!A:L,4,0)</f>
        <v>311.51249999999999</v>
      </c>
      <c r="I187" s="1" t="s">
        <v>14</v>
      </c>
      <c r="J187">
        <f>VLOOKUP(B187,'Small Pricelist'!A:L,5,0)</f>
        <v>0</v>
      </c>
      <c r="K187" s="1" t="s">
        <v>14</v>
      </c>
      <c r="L187">
        <f>VLOOKUP(B187,'Small Pricelist'!A:L,6,0)</f>
        <v>0</v>
      </c>
      <c r="M187" s="1" t="s">
        <v>14</v>
      </c>
      <c r="N187">
        <f>VLOOKUP(B187,'Small Pricelist'!A:L,7,0)</f>
        <v>0</v>
      </c>
      <c r="O187" s="1" t="s">
        <v>14</v>
      </c>
      <c r="P187">
        <f>VLOOKUP(B187,'Small Pricelist'!A:L,8,0)</f>
        <v>311.51249999999999</v>
      </c>
      <c r="Q187" s="1" t="s">
        <v>14</v>
      </c>
      <c r="R187">
        <f>VLOOKUP(B187,'Small Pricelist'!A:L,9,0)</f>
        <v>63.487500000000011</v>
      </c>
      <c r="S187" s="1" t="s">
        <v>14</v>
      </c>
      <c r="T187">
        <f>VLOOKUP(B187,'Small Pricelist'!A:L,10,0)</f>
        <v>63.487500000000011</v>
      </c>
      <c r="U187" s="1" t="s">
        <v>14</v>
      </c>
      <c r="V187">
        <f>VLOOKUP(B187,'Small Pricelist'!A:L,11,0)</f>
        <v>20.380402070542917</v>
      </c>
      <c r="W187" s="1" t="s">
        <v>14</v>
      </c>
      <c r="X187">
        <f>VLOOKUP(B187,'Small Pricelist'!A:L,12,0)</f>
        <v>6230.2500000000045</v>
      </c>
      <c r="Y187" s="1" t="s">
        <v>12</v>
      </c>
      <c r="Z187" s="25" t="str">
        <f t="shared" si="2"/>
        <v>&lt;tr&gt; &lt;td&gt;7494184&lt;/td&gt;&lt;td&gt;SERVO SUP.MULT.GRD 20W-40-20 X 1 L&lt;/td&gt;&lt;td&gt;375&lt;/td&gt;&lt;td&gt;311.5125&lt;/td&gt;&lt;td&gt;0&lt;/td&gt;&lt;td&gt;0&lt;/td&gt;&lt;td&gt;0&lt;/td&gt;&lt;td&gt;311.5125&lt;/td&gt;&lt;td&gt;63.4875&lt;/td&gt;&lt;td&gt;63.4875&lt;/td&gt;&lt;td&gt;20.3804020705429&lt;/td&gt;&lt;td&gt;6230.25&lt;/td&gt;&lt;/tr&gt;</v>
      </c>
    </row>
    <row r="188" spans="1:26" x14ac:dyDescent="0.3">
      <c r="A188" s="1" t="s">
        <v>13</v>
      </c>
      <c r="B188">
        <f>'Small Pricelist'!A187</f>
        <v>7494234</v>
      </c>
      <c r="C188" s="1" t="s">
        <v>14</v>
      </c>
      <c r="D188" t="str">
        <f>VLOOKUP(B188,'Small Pricelist'!A:L,2,0)</f>
        <v>SERVO SUP.MULT.GRD 20W-40-4x5L - HDPE</v>
      </c>
      <c r="E188" s="1" t="s">
        <v>14</v>
      </c>
      <c r="F188">
        <f>VLOOKUP(B188,'Small Pricelist'!A:L,3,0)</f>
        <v>1825</v>
      </c>
      <c r="G188" s="1" t="s">
        <v>14</v>
      </c>
      <c r="H188">
        <f>VLOOKUP(B188,'Small Pricelist'!A:L,4,0)</f>
        <v>1555.0825</v>
      </c>
      <c r="I188" s="1" t="s">
        <v>14</v>
      </c>
      <c r="J188">
        <f>VLOOKUP(B188,'Small Pricelist'!A:L,5,0)</f>
        <v>0</v>
      </c>
      <c r="K188" s="1" t="s">
        <v>14</v>
      </c>
      <c r="L188">
        <f>VLOOKUP(B188,'Small Pricelist'!A:L,6,0)</f>
        <v>0</v>
      </c>
      <c r="M188" s="1" t="s">
        <v>14</v>
      </c>
      <c r="N188">
        <f>VLOOKUP(B188,'Small Pricelist'!A:L,7,0)</f>
        <v>0</v>
      </c>
      <c r="O188" s="1" t="s">
        <v>14</v>
      </c>
      <c r="P188">
        <f>VLOOKUP(B188,'Small Pricelist'!A:L,8,0)</f>
        <v>1555.0825</v>
      </c>
      <c r="Q188" s="1" t="s">
        <v>14</v>
      </c>
      <c r="R188">
        <f>VLOOKUP(B188,'Small Pricelist'!A:L,9,0)</f>
        <v>269.91750000000002</v>
      </c>
      <c r="S188" s="1" t="s">
        <v>14</v>
      </c>
      <c r="T188">
        <f>VLOOKUP(B188,'Small Pricelist'!A:L,10,0)</f>
        <v>53.983499999999992</v>
      </c>
      <c r="U188" s="1" t="s">
        <v>14</v>
      </c>
      <c r="V188">
        <f>VLOOKUP(B188,'Small Pricelist'!A:L,11,0)</f>
        <v>17.357117709189062</v>
      </c>
      <c r="W188" s="1" t="s">
        <v>14</v>
      </c>
      <c r="X188">
        <f>VLOOKUP(B188,'Small Pricelist'!A:L,12,0)</f>
        <v>6220.3300000000045</v>
      </c>
      <c r="Y188" s="1" t="s">
        <v>12</v>
      </c>
      <c r="Z188" s="25" t="str">
        <f t="shared" si="2"/>
        <v>&lt;tr&gt; &lt;td&gt;7494234&lt;/td&gt;&lt;td&gt;SERVO SUP.MULT.GRD 20W-40-4x5L - HDPE&lt;/td&gt;&lt;td&gt;1825&lt;/td&gt;&lt;td&gt;1555.0825&lt;/td&gt;&lt;td&gt;0&lt;/td&gt;&lt;td&gt;0&lt;/td&gt;&lt;td&gt;0&lt;/td&gt;&lt;td&gt;1555.0825&lt;/td&gt;&lt;td&gt;269.9175&lt;/td&gt;&lt;td&gt;53.9835&lt;/td&gt;&lt;td&gt;17.3571177091891&lt;/td&gt;&lt;td&gt;6220.33&lt;/td&gt;&lt;/tr&gt;</v>
      </c>
    </row>
    <row r="189" spans="1:26" x14ac:dyDescent="0.3">
      <c r="A189" s="1" t="s">
        <v>13</v>
      </c>
      <c r="B189">
        <f>'Small Pricelist'!A188</f>
        <v>7494242</v>
      </c>
      <c r="C189" s="1" t="s">
        <v>14</v>
      </c>
      <c r="D189" t="str">
        <f>VLOOKUP(B189,'Small Pricelist'!A:L,2,0)</f>
        <v>SERVO SUP.MULT.GRD 20W-40-10 L</v>
      </c>
      <c r="E189" s="1" t="s">
        <v>14</v>
      </c>
      <c r="F189">
        <f>VLOOKUP(B189,'Small Pricelist'!A:L,3,0)</f>
        <v>3320</v>
      </c>
      <c r="G189" s="1" t="s">
        <v>14</v>
      </c>
      <c r="H189">
        <f>VLOOKUP(B189,'Small Pricelist'!A:L,4,0)</f>
        <v>2832.2919999999999</v>
      </c>
      <c r="I189" s="1" t="s">
        <v>14</v>
      </c>
      <c r="J189">
        <f>VLOOKUP(B189,'Small Pricelist'!A:L,5,0)</f>
        <v>0</v>
      </c>
      <c r="K189" s="1" t="s">
        <v>14</v>
      </c>
      <c r="L189">
        <f>VLOOKUP(B189,'Small Pricelist'!A:L,6,0)</f>
        <v>0</v>
      </c>
      <c r="M189" s="1" t="s">
        <v>14</v>
      </c>
      <c r="N189">
        <f>VLOOKUP(B189,'Small Pricelist'!A:L,7,0)</f>
        <v>0</v>
      </c>
      <c r="O189" s="1" t="s">
        <v>14</v>
      </c>
      <c r="P189">
        <f>VLOOKUP(B189,'Small Pricelist'!A:L,8,0)</f>
        <v>2832.2919999999999</v>
      </c>
      <c r="Q189" s="1" t="s">
        <v>14</v>
      </c>
      <c r="R189">
        <f>VLOOKUP(B189,'Small Pricelist'!A:L,9,0)</f>
        <v>487.70800000000008</v>
      </c>
      <c r="S189" s="1" t="s">
        <v>14</v>
      </c>
      <c r="T189">
        <f>VLOOKUP(B189,'Small Pricelist'!A:L,10,0)</f>
        <v>48.770800000000008</v>
      </c>
      <c r="U189" s="1" t="s">
        <v>14</v>
      </c>
      <c r="V189">
        <f>VLOOKUP(B189,'Small Pricelist'!A:L,11,0)</f>
        <v>17.219552221310519</v>
      </c>
      <c r="W189" s="1" t="s">
        <v>14</v>
      </c>
      <c r="X189">
        <f>VLOOKUP(B189,'Small Pricelist'!A:L,12,0)</f>
        <v>2832.2920000000013</v>
      </c>
      <c r="Y189" s="1" t="s">
        <v>12</v>
      </c>
      <c r="Z189" s="25" t="str">
        <f t="shared" si="2"/>
        <v>&lt;tr&gt; &lt;td&gt;7494242&lt;/td&gt;&lt;td&gt;SERVO SUP.MULT.GRD 20W-40-10 L&lt;/td&gt;&lt;td&gt;3320&lt;/td&gt;&lt;td&gt;2832.292&lt;/td&gt;&lt;td&gt;0&lt;/td&gt;&lt;td&gt;0&lt;/td&gt;&lt;td&gt;0&lt;/td&gt;&lt;td&gt;2832.292&lt;/td&gt;&lt;td&gt;487.708&lt;/td&gt;&lt;td&gt;48.7708&lt;/td&gt;&lt;td&gt;17.2195522213105&lt;/td&gt;&lt;td&gt;2832.292&lt;/td&gt;&lt;/tr&gt;</v>
      </c>
    </row>
    <row r="190" spans="1:26" x14ac:dyDescent="0.3">
      <c r="A190" s="1" t="s">
        <v>13</v>
      </c>
      <c r="B190">
        <f>'Small Pricelist'!A189</f>
        <v>7494251</v>
      </c>
      <c r="C190" s="1" t="s">
        <v>14</v>
      </c>
      <c r="D190" t="str">
        <f>VLOOKUP(B190,'Small Pricelist'!A:L,2,0)</f>
        <v>SERVO SUP.MULT.GRD 20W-40-7.5 L</v>
      </c>
      <c r="E190" s="1" t="s">
        <v>14</v>
      </c>
      <c r="F190">
        <f>VLOOKUP(B190,'Small Pricelist'!A:L,3,0)</f>
        <v>2738</v>
      </c>
      <c r="G190" s="1" t="s">
        <v>14</v>
      </c>
      <c r="H190">
        <f>VLOOKUP(B190,'Small Pricelist'!A:L,4,0)</f>
        <v>2327.5738000000001</v>
      </c>
      <c r="I190" s="1" t="s">
        <v>14</v>
      </c>
      <c r="J190">
        <f>VLOOKUP(B190,'Small Pricelist'!A:L,5,0)</f>
        <v>0</v>
      </c>
      <c r="K190" s="1" t="s">
        <v>14</v>
      </c>
      <c r="L190">
        <f>VLOOKUP(B190,'Small Pricelist'!A:L,6,0)</f>
        <v>0</v>
      </c>
      <c r="M190" s="1" t="s">
        <v>14</v>
      </c>
      <c r="N190">
        <f>VLOOKUP(B190,'Small Pricelist'!A:L,7,0)</f>
        <v>0</v>
      </c>
      <c r="O190" s="1" t="s">
        <v>14</v>
      </c>
      <c r="P190">
        <f>VLOOKUP(B190,'Small Pricelist'!A:L,8,0)</f>
        <v>2327.5738000000001</v>
      </c>
      <c r="Q190" s="1" t="s">
        <v>14</v>
      </c>
      <c r="R190">
        <f>VLOOKUP(B190,'Small Pricelist'!A:L,9,0)</f>
        <v>410.42619999999988</v>
      </c>
      <c r="S190" s="1" t="s">
        <v>14</v>
      </c>
      <c r="T190">
        <f>VLOOKUP(B190,'Small Pricelist'!A:L,10,0)</f>
        <v>54.723493333333295</v>
      </c>
      <c r="U190" s="1" t="s">
        <v>14</v>
      </c>
      <c r="V190">
        <f>VLOOKUP(B190,'Small Pricelist'!A:L,11,0)</f>
        <v>17.633219621221027</v>
      </c>
      <c r="W190" s="1" t="s">
        <v>14</v>
      </c>
      <c r="X190">
        <f>VLOOKUP(B190,'Small Pricelist'!A:L,12,0)</f>
        <v>2327.5738000000015</v>
      </c>
      <c r="Y190" s="1" t="s">
        <v>12</v>
      </c>
      <c r="Z190" s="25" t="str">
        <f t="shared" si="2"/>
        <v>&lt;tr&gt; &lt;td&gt;7494251&lt;/td&gt;&lt;td&gt;SERVO SUP.MULT.GRD 20W-40-7.5 L&lt;/td&gt;&lt;td&gt;2738&lt;/td&gt;&lt;td&gt;2327.5738&lt;/td&gt;&lt;td&gt;0&lt;/td&gt;&lt;td&gt;0&lt;/td&gt;&lt;td&gt;0&lt;/td&gt;&lt;td&gt;2327.5738&lt;/td&gt;&lt;td&gt;410.4262&lt;/td&gt;&lt;td&gt;54.7234933333333&lt;/td&gt;&lt;td&gt;17.633219621221&lt;/td&gt;&lt;td&gt;2327.5738&lt;/td&gt;&lt;/tr&gt;</v>
      </c>
    </row>
    <row r="191" spans="1:26" x14ac:dyDescent="0.3">
      <c r="A191" s="1" t="s">
        <v>13</v>
      </c>
      <c r="B191">
        <f>'Small Pricelist'!A190</f>
        <v>7494265</v>
      </c>
      <c r="C191" s="1" t="s">
        <v>14</v>
      </c>
      <c r="D191" t="str">
        <f>VLOOKUP(B191,'Small Pricelist'!A:L,2,0)</f>
        <v>SERVO SUP.MULT.GRD 20W-40-20 L</v>
      </c>
      <c r="E191" s="1" t="s">
        <v>14</v>
      </c>
      <c r="F191">
        <f>VLOOKUP(B191,'Small Pricelist'!A:L,3,0)</f>
        <v>7200</v>
      </c>
      <c r="G191" s="1" t="s">
        <v>14</v>
      </c>
      <c r="H191">
        <f>VLOOKUP(B191,'Small Pricelist'!A:L,4,0)</f>
        <v>6163.92</v>
      </c>
      <c r="I191" s="1" t="s">
        <v>14</v>
      </c>
      <c r="J191">
        <f>VLOOKUP(B191,'Small Pricelist'!A:L,5,0)</f>
        <v>0</v>
      </c>
      <c r="K191" s="1" t="s">
        <v>14</v>
      </c>
      <c r="L191">
        <f>VLOOKUP(B191,'Small Pricelist'!A:L,6,0)</f>
        <v>0</v>
      </c>
      <c r="M191" s="1" t="s">
        <v>14</v>
      </c>
      <c r="N191">
        <f>VLOOKUP(B191,'Small Pricelist'!A:L,7,0)</f>
        <v>0</v>
      </c>
      <c r="O191" s="1" t="s">
        <v>14</v>
      </c>
      <c r="P191">
        <f>VLOOKUP(B191,'Small Pricelist'!A:L,8,0)</f>
        <v>6163.92</v>
      </c>
      <c r="Q191" s="1" t="s">
        <v>14</v>
      </c>
      <c r="R191">
        <f>VLOOKUP(B191,'Small Pricelist'!A:L,9,0)</f>
        <v>1036.08</v>
      </c>
      <c r="S191" s="1" t="s">
        <v>14</v>
      </c>
      <c r="T191">
        <f>VLOOKUP(B191,'Small Pricelist'!A:L,10,0)</f>
        <v>51.803999999999974</v>
      </c>
      <c r="U191" s="1" t="s">
        <v>14</v>
      </c>
      <c r="V191">
        <f>VLOOKUP(B191,'Small Pricelist'!A:L,11,0)</f>
        <v>16.808784020558345</v>
      </c>
      <c r="W191" s="1" t="s">
        <v>14</v>
      </c>
      <c r="X191">
        <f>VLOOKUP(B191,'Small Pricelist'!A:L,12,0)</f>
        <v>6163.9200000000046</v>
      </c>
      <c r="Y191" s="1" t="s">
        <v>12</v>
      </c>
      <c r="Z191" s="25" t="str">
        <f t="shared" si="2"/>
        <v>&lt;tr&gt; &lt;td&gt;7494265&lt;/td&gt;&lt;td&gt;SERVO SUP.MULT.GRD 20W-40-20 L&lt;/td&gt;&lt;td&gt;7200&lt;/td&gt;&lt;td&gt;6163.92&lt;/td&gt;&lt;td&gt;0&lt;/td&gt;&lt;td&gt;0&lt;/td&gt;&lt;td&gt;0&lt;/td&gt;&lt;td&gt;6163.92&lt;/td&gt;&lt;td&gt;1036.08&lt;/td&gt;&lt;td&gt;51.804&lt;/td&gt;&lt;td&gt;16.8087840205583&lt;/td&gt;&lt;td&gt;6163.92&lt;/td&gt;&lt;/tr&gt;</v>
      </c>
    </row>
    <row r="192" spans="1:26" x14ac:dyDescent="0.3">
      <c r="A192" s="1" t="s">
        <v>13</v>
      </c>
      <c r="B192">
        <f>'Small Pricelist'!A191</f>
        <v>7505195</v>
      </c>
      <c r="C192" s="1" t="s">
        <v>14</v>
      </c>
      <c r="D192" t="str">
        <f>VLOOKUP(B192,'Small Pricelist'!A:L,2,0)</f>
        <v>SERVO AUTORIKSHAW OIL 20W-40-4X2.5HDPE</v>
      </c>
      <c r="E192" s="1" t="s">
        <v>14</v>
      </c>
      <c r="F192">
        <f>VLOOKUP(B192,'Small Pricelist'!A:L,3,0)</f>
        <v>951</v>
      </c>
      <c r="G192" s="1" t="s">
        <v>14</v>
      </c>
      <c r="H192">
        <f>VLOOKUP(B192,'Small Pricelist'!A:L,4,0)</f>
        <v>768.31290000000013</v>
      </c>
      <c r="I192" s="1" t="s">
        <v>14</v>
      </c>
      <c r="J192">
        <f>VLOOKUP(B192,'Small Pricelist'!A:L,5,0)</f>
        <v>9</v>
      </c>
      <c r="K192" s="1" t="s">
        <v>14</v>
      </c>
      <c r="L192">
        <f>VLOOKUP(B192,'Small Pricelist'!A:L,6,0)</f>
        <v>0</v>
      </c>
      <c r="M192" s="1" t="s">
        <v>14</v>
      </c>
      <c r="N192">
        <f>VLOOKUP(B192,'Small Pricelist'!A:L,7,0)</f>
        <v>0</v>
      </c>
      <c r="O192" s="1" t="s">
        <v>14</v>
      </c>
      <c r="P192">
        <f>VLOOKUP(B192,'Small Pricelist'!A:L,8,0)</f>
        <v>741.76290000000017</v>
      </c>
      <c r="Q192" s="1" t="s">
        <v>14</v>
      </c>
      <c r="R192">
        <f>VLOOKUP(B192,'Small Pricelist'!A:L,9,0)</f>
        <v>209.23709999999983</v>
      </c>
      <c r="S192" s="1" t="s">
        <v>14</v>
      </c>
      <c r="T192">
        <f>VLOOKUP(B192,'Small Pricelist'!A:L,10,0)</f>
        <v>83.694839999999886</v>
      </c>
      <c r="U192" s="1" t="s">
        <v>14</v>
      </c>
      <c r="V192">
        <f>VLOOKUP(B192,'Small Pricelist'!A:L,11,0)</f>
        <v>28.208083742122959</v>
      </c>
      <c r="W192" s="1" t="s">
        <v>14</v>
      </c>
      <c r="X192">
        <f>VLOOKUP(B192,'Small Pricelist'!A:L,12,0)</f>
        <v>2967.0516000000007</v>
      </c>
      <c r="Y192" s="1" t="s">
        <v>12</v>
      </c>
      <c r="Z192" s="25" t="str">
        <f t="shared" si="2"/>
        <v>&lt;tr&gt; &lt;td&gt;7505195&lt;/td&gt;&lt;td&gt;SERVO AUTORIKSHAW OIL 20W-40-4X2.5HDPE&lt;/td&gt;&lt;td&gt;951&lt;/td&gt;&lt;td&gt;768.3129&lt;/td&gt;&lt;td&gt;9&lt;/td&gt;&lt;td&gt;0&lt;/td&gt;&lt;td&gt;0&lt;/td&gt;&lt;td&gt;741.7629&lt;/td&gt;&lt;td&gt;209.2371&lt;/td&gt;&lt;td&gt;83.6948399999999&lt;/td&gt;&lt;td&gt;28.208083742123&lt;/td&gt;&lt;td&gt;2967.0516&lt;/td&gt;&lt;/tr&gt;</v>
      </c>
    </row>
    <row r="193" spans="1:26" x14ac:dyDescent="0.3">
      <c r="A193" s="1" t="s">
        <v>13</v>
      </c>
      <c r="B193">
        <f>'Small Pricelist'!A192</f>
        <v>7511184</v>
      </c>
      <c r="C193" s="1" t="s">
        <v>14</v>
      </c>
      <c r="D193" t="str">
        <f>VLOOKUP(B193,'Small Pricelist'!A:L,2,0)</f>
        <v>SERVO GEAR SUPER 80W-90 - 20 X 1 L HDPE</v>
      </c>
      <c r="E193" s="1" t="s">
        <v>14</v>
      </c>
      <c r="F193">
        <f>VLOOKUP(B193,'Small Pricelist'!A:L,3,0)</f>
        <v>435</v>
      </c>
      <c r="G193" s="1" t="s">
        <v>14</v>
      </c>
      <c r="H193">
        <f>VLOOKUP(B193,'Small Pricelist'!A:L,4,0)</f>
        <v>347.47799999999995</v>
      </c>
      <c r="I193" s="1" t="s">
        <v>14</v>
      </c>
      <c r="J193">
        <f>VLOOKUP(B193,'Small Pricelist'!A:L,5,0)</f>
        <v>24</v>
      </c>
      <c r="K193" s="1" t="s">
        <v>14</v>
      </c>
      <c r="L193">
        <f>VLOOKUP(B193,'Small Pricelist'!A:L,6,0)</f>
        <v>0</v>
      </c>
      <c r="M193" s="1" t="s">
        <v>14</v>
      </c>
      <c r="N193">
        <f>VLOOKUP(B193,'Small Pricelist'!A:L,7,0)</f>
        <v>0</v>
      </c>
      <c r="O193" s="1" t="s">
        <v>14</v>
      </c>
      <c r="P193">
        <f>VLOOKUP(B193,'Small Pricelist'!A:L,8,0)</f>
        <v>319.15799999999996</v>
      </c>
      <c r="Q193" s="1" t="s">
        <v>14</v>
      </c>
      <c r="R193">
        <f>VLOOKUP(B193,'Small Pricelist'!A:L,9,0)</f>
        <v>115.84200000000004</v>
      </c>
      <c r="S193" s="1" t="s">
        <v>14</v>
      </c>
      <c r="T193">
        <f>VLOOKUP(B193,'Small Pricelist'!A:L,10,0)</f>
        <v>115.84200000000004</v>
      </c>
      <c r="U193" s="1" t="s">
        <v>14</v>
      </c>
      <c r="V193">
        <f>VLOOKUP(B193,'Small Pricelist'!A:L,11,0)</f>
        <v>36.296129189931023</v>
      </c>
      <c r="W193" s="1" t="s">
        <v>14</v>
      </c>
      <c r="X193">
        <f>VLOOKUP(B193,'Small Pricelist'!A:L,12,0)</f>
        <v>6383.1600000000035</v>
      </c>
      <c r="Y193" s="1" t="s">
        <v>12</v>
      </c>
      <c r="Z193" s="25" t="str">
        <f t="shared" si="2"/>
        <v>&lt;tr&gt; &lt;td&gt;7511184&lt;/td&gt;&lt;td&gt;SERVO GEAR SUPER 80W-90 - 20 X 1 L HDPE&lt;/td&gt;&lt;td&gt;435&lt;/td&gt;&lt;td&gt;347.478&lt;/td&gt;&lt;td&gt;24&lt;/td&gt;&lt;td&gt;0&lt;/td&gt;&lt;td&gt;0&lt;/td&gt;&lt;td&gt;319.158&lt;/td&gt;&lt;td&gt;115.842&lt;/td&gt;&lt;td&gt;115.842&lt;/td&gt;&lt;td&gt;36.296129189931&lt;/td&gt;&lt;td&gt;6383.16&lt;/td&gt;&lt;/tr&gt;</v>
      </c>
    </row>
    <row r="194" spans="1:26" x14ac:dyDescent="0.3">
      <c r="A194" s="1" t="s">
        <v>13</v>
      </c>
      <c r="B194">
        <f>'Small Pricelist'!A193</f>
        <v>7511234</v>
      </c>
      <c r="C194" s="1" t="s">
        <v>14</v>
      </c>
      <c r="D194" t="str">
        <f>VLOOKUP(B194,'Small Pricelist'!A:L,2,0)</f>
        <v>SERVO GEAR SUPER 80W-90 - 4 X 5 L HDPE</v>
      </c>
      <c r="E194" s="1" t="s">
        <v>14</v>
      </c>
      <c r="F194">
        <f>VLOOKUP(B194,'Small Pricelist'!A:L,3,0)</f>
        <v>2100</v>
      </c>
      <c r="G194" s="1" t="s">
        <v>14</v>
      </c>
      <c r="H194">
        <f>VLOOKUP(B194,'Small Pricelist'!A:L,4,0)</f>
        <v>1693.23</v>
      </c>
      <c r="I194" s="1" t="s">
        <v>14</v>
      </c>
      <c r="J194">
        <f>VLOOKUP(B194,'Small Pricelist'!A:L,5,0)</f>
        <v>29</v>
      </c>
      <c r="K194" s="1" t="s">
        <v>14</v>
      </c>
      <c r="L194">
        <f>VLOOKUP(B194,'Small Pricelist'!A:L,6,0)</f>
        <v>0</v>
      </c>
      <c r="M194" s="1" t="s">
        <v>14</v>
      </c>
      <c r="N194">
        <f>VLOOKUP(B194,'Small Pricelist'!A:L,7,0)</f>
        <v>0</v>
      </c>
      <c r="O194" s="1" t="s">
        <v>14</v>
      </c>
      <c r="P194">
        <f>VLOOKUP(B194,'Small Pricelist'!A:L,8,0)</f>
        <v>1522.1299999999999</v>
      </c>
      <c r="Q194" s="1" t="s">
        <v>14</v>
      </c>
      <c r="R194">
        <f>VLOOKUP(B194,'Small Pricelist'!A:L,9,0)</f>
        <v>577.87000000000012</v>
      </c>
      <c r="S194" s="1" t="s">
        <v>14</v>
      </c>
      <c r="T194">
        <f>VLOOKUP(B194,'Small Pricelist'!A:L,10,0)</f>
        <v>115.57400000000001</v>
      </c>
      <c r="U194" s="1" t="s">
        <v>14</v>
      </c>
      <c r="V194">
        <f>VLOOKUP(B194,'Small Pricelist'!A:L,11,0)</f>
        <v>37.964562816579409</v>
      </c>
      <c r="W194" s="1" t="s">
        <v>14</v>
      </c>
      <c r="X194">
        <f>VLOOKUP(B194,'Small Pricelist'!A:L,12,0)</f>
        <v>6088.5200000000032</v>
      </c>
      <c r="Y194" s="1" t="s">
        <v>12</v>
      </c>
      <c r="Z194" s="25" t="str">
        <f t="shared" si="2"/>
        <v>&lt;tr&gt; &lt;td&gt;7511234&lt;/td&gt;&lt;td&gt;SERVO GEAR SUPER 80W-90 - 4 X 5 L HDPE&lt;/td&gt;&lt;td&gt;2100&lt;/td&gt;&lt;td&gt;1693.23&lt;/td&gt;&lt;td&gt;29&lt;/td&gt;&lt;td&gt;0&lt;/td&gt;&lt;td&gt;0&lt;/td&gt;&lt;td&gt;1522.13&lt;/td&gt;&lt;td&gt;577.87&lt;/td&gt;&lt;td&gt;115.574&lt;/td&gt;&lt;td&gt;37.9645628165794&lt;/td&gt;&lt;td&gt;6088.52&lt;/td&gt;&lt;/tr&gt;</v>
      </c>
    </row>
    <row r="195" spans="1:26" x14ac:dyDescent="0.3">
      <c r="A195" s="1" t="s">
        <v>13</v>
      </c>
      <c r="B195">
        <f>'Small Pricelist'!A194</f>
        <v>7511240</v>
      </c>
      <c r="C195" s="1" t="s">
        <v>14</v>
      </c>
      <c r="D195" t="str">
        <f>VLOOKUP(B195,'Small Pricelist'!A:L,2,0)</f>
        <v>SERVO GEAR SUPER 80W-90-4 X 5 L PROMO</v>
      </c>
      <c r="E195" s="1" t="s">
        <v>14</v>
      </c>
      <c r="F195">
        <f>VLOOKUP(B195,'Small Pricelist'!A:L,3,0)</f>
        <v>2100</v>
      </c>
      <c r="G195" s="1" t="s">
        <v>14</v>
      </c>
      <c r="H195">
        <f>VLOOKUP(B195,'Small Pricelist'!A:L,4,0)</f>
        <v>1693.23</v>
      </c>
      <c r="I195" s="1" t="s">
        <v>14</v>
      </c>
      <c r="J195">
        <f>VLOOKUP(B195,'Small Pricelist'!A:L,5,0)</f>
        <v>29</v>
      </c>
      <c r="K195" s="1" t="s">
        <v>14</v>
      </c>
      <c r="L195">
        <f>VLOOKUP(B195,'Small Pricelist'!A:L,6,0)</f>
        <v>0</v>
      </c>
      <c r="M195" s="1" t="s">
        <v>14</v>
      </c>
      <c r="N195">
        <f>VLOOKUP(B195,'Small Pricelist'!A:L,7,0)</f>
        <v>0</v>
      </c>
      <c r="O195" s="1" t="s">
        <v>14</v>
      </c>
      <c r="P195">
        <f>VLOOKUP(B195,'Small Pricelist'!A:L,8,0)</f>
        <v>1522.1299999999999</v>
      </c>
      <c r="Q195" s="1" t="s">
        <v>14</v>
      </c>
      <c r="R195">
        <f>VLOOKUP(B195,'Small Pricelist'!A:L,9,0)</f>
        <v>577.87000000000012</v>
      </c>
      <c r="S195" s="1" t="s">
        <v>14</v>
      </c>
      <c r="T195">
        <f>VLOOKUP(B195,'Small Pricelist'!A:L,10,0)</f>
        <v>115.57400000000001</v>
      </c>
      <c r="U195" s="1" t="s">
        <v>14</v>
      </c>
      <c r="V195">
        <f>VLOOKUP(B195,'Small Pricelist'!A:L,11,0)</f>
        <v>37.964562816579409</v>
      </c>
      <c r="W195" s="1" t="s">
        <v>14</v>
      </c>
      <c r="X195">
        <f>VLOOKUP(B195,'Small Pricelist'!A:L,12,0)</f>
        <v>6088.5199999999995</v>
      </c>
      <c r="Y195" s="1" t="s">
        <v>12</v>
      </c>
      <c r="Z195" s="25" t="str">
        <f t="shared" ref="Z195:Z258" si="3">CONCATENATE(A195,B195,C195,D195,E195,F195,G195,H195,I195,J195,K195,L195,M195,N195,O195,P195,Q195,R195,S195,T195,U195,V195,W195,X195,Y195)</f>
        <v>&lt;tr&gt; &lt;td&gt;7511240&lt;/td&gt;&lt;td&gt;SERVO GEAR SUPER 80W-90-4 X 5 L PROMO&lt;/td&gt;&lt;td&gt;2100&lt;/td&gt;&lt;td&gt;1693.23&lt;/td&gt;&lt;td&gt;29&lt;/td&gt;&lt;td&gt;0&lt;/td&gt;&lt;td&gt;0&lt;/td&gt;&lt;td&gt;1522.13&lt;/td&gt;&lt;td&gt;577.87&lt;/td&gt;&lt;td&gt;115.574&lt;/td&gt;&lt;td&gt;37.9645628165794&lt;/td&gt;&lt;td&gt;6088.52&lt;/td&gt;&lt;/tr&gt;</v>
      </c>
    </row>
    <row r="196" spans="1:26" x14ac:dyDescent="0.3">
      <c r="A196" s="1" t="s">
        <v>13</v>
      </c>
      <c r="B196">
        <f>'Small Pricelist'!A195</f>
        <v>7511251</v>
      </c>
      <c r="C196" s="1" t="s">
        <v>14</v>
      </c>
      <c r="D196" t="str">
        <f>VLOOKUP(B196,'Small Pricelist'!A:L,2,0)</f>
        <v>SERVO GEAR SUPER 80W-90-7.5 L</v>
      </c>
      <c r="E196" s="1" t="s">
        <v>14</v>
      </c>
      <c r="F196">
        <f>VLOOKUP(B196,'Small Pricelist'!A:L,3,0)</f>
        <v>3101</v>
      </c>
      <c r="G196" s="1" t="s">
        <v>14</v>
      </c>
      <c r="H196">
        <f>VLOOKUP(B196,'Small Pricelist'!A:L,4,0)</f>
        <v>2513.6705999999999</v>
      </c>
      <c r="I196" s="1" t="s">
        <v>14</v>
      </c>
      <c r="J196">
        <f>VLOOKUP(B196,'Small Pricelist'!A:L,5,0)</f>
        <v>29</v>
      </c>
      <c r="K196" s="1" t="s">
        <v>14</v>
      </c>
      <c r="L196">
        <f>VLOOKUP(B196,'Small Pricelist'!A:L,6,0)</f>
        <v>0</v>
      </c>
      <c r="M196" s="1" t="s">
        <v>14</v>
      </c>
      <c r="N196">
        <f>VLOOKUP(B196,'Small Pricelist'!A:L,7,0)</f>
        <v>0</v>
      </c>
      <c r="O196" s="1" t="s">
        <v>14</v>
      </c>
      <c r="P196">
        <f>VLOOKUP(B196,'Small Pricelist'!A:L,8,0)</f>
        <v>2257.0205999999998</v>
      </c>
      <c r="Q196" s="1" t="s">
        <v>14</v>
      </c>
      <c r="R196">
        <f>VLOOKUP(B196,'Small Pricelist'!A:L,9,0)</f>
        <v>843.97940000000017</v>
      </c>
      <c r="S196" s="1" t="s">
        <v>14</v>
      </c>
      <c r="T196">
        <f>VLOOKUP(B196,'Small Pricelist'!A:L,10,0)</f>
        <v>112.53058666666664</v>
      </c>
      <c r="U196" s="1" t="s">
        <v>14</v>
      </c>
      <c r="V196">
        <f>VLOOKUP(B196,'Small Pricelist'!A:L,11,0)</f>
        <v>37.393517808388644</v>
      </c>
      <c r="W196" s="1" t="s">
        <v>14</v>
      </c>
      <c r="X196">
        <f>VLOOKUP(B196,'Small Pricelist'!A:L,12,0)</f>
        <v>2257.0206000000012</v>
      </c>
      <c r="Y196" s="1" t="s">
        <v>12</v>
      </c>
      <c r="Z196" s="25" t="str">
        <f t="shared" si="3"/>
        <v>&lt;tr&gt; &lt;td&gt;7511251&lt;/td&gt;&lt;td&gt;SERVO GEAR SUPER 80W-90-7.5 L&lt;/td&gt;&lt;td&gt;3101&lt;/td&gt;&lt;td&gt;2513.6706&lt;/td&gt;&lt;td&gt;29&lt;/td&gt;&lt;td&gt;0&lt;/td&gt;&lt;td&gt;0&lt;/td&gt;&lt;td&gt;2257.0206&lt;/td&gt;&lt;td&gt;843.9794&lt;/td&gt;&lt;td&gt;112.530586666667&lt;/td&gt;&lt;td&gt;37.3935178083886&lt;/td&gt;&lt;td&gt;2257.0206&lt;/td&gt;&lt;/tr&gt;</v>
      </c>
    </row>
    <row r="197" spans="1:26" x14ac:dyDescent="0.3">
      <c r="A197" s="1" t="s">
        <v>13</v>
      </c>
      <c r="B197">
        <f>'Small Pricelist'!A196</f>
        <v>7511269</v>
      </c>
      <c r="C197" s="1" t="s">
        <v>14</v>
      </c>
      <c r="D197" t="str">
        <f>VLOOKUP(B197,'Small Pricelist'!A:L,2,0)</f>
        <v>SERVO GEAR SUPER 80W-90-20 L PROMO</v>
      </c>
      <c r="E197" s="1" t="s">
        <v>14</v>
      </c>
      <c r="F197">
        <f>VLOOKUP(B197,'Small Pricelist'!A:L,3,0)</f>
        <v>8100</v>
      </c>
      <c r="G197" s="1" t="s">
        <v>14</v>
      </c>
      <c r="H197">
        <f>VLOOKUP(B197,'Small Pricelist'!A:L,4,0)</f>
        <v>6674.4</v>
      </c>
      <c r="I197" s="1" t="s">
        <v>14</v>
      </c>
      <c r="J197">
        <f>VLOOKUP(B197,'Small Pricelist'!A:L,5,0)</f>
        <v>44</v>
      </c>
      <c r="K197" s="1" t="s">
        <v>14</v>
      </c>
      <c r="L197">
        <f>VLOOKUP(B197,'Small Pricelist'!A:L,6,0)</f>
        <v>0</v>
      </c>
      <c r="M197" s="1" t="s">
        <v>14</v>
      </c>
      <c r="N197">
        <f>VLOOKUP(B197,'Small Pricelist'!A:L,7,0)</f>
        <v>0</v>
      </c>
      <c r="O197" s="1" t="s">
        <v>14</v>
      </c>
      <c r="P197">
        <f>VLOOKUP(B197,'Small Pricelist'!A:L,8,0)</f>
        <v>5636</v>
      </c>
      <c r="Q197" s="1" t="s">
        <v>14</v>
      </c>
      <c r="R197">
        <f>VLOOKUP(B197,'Small Pricelist'!A:L,9,0)</f>
        <v>2464</v>
      </c>
      <c r="S197" s="1" t="s">
        <v>14</v>
      </c>
      <c r="T197">
        <f>VLOOKUP(B197,'Small Pricelist'!A:L,10,0)</f>
        <v>123.19999999999999</v>
      </c>
      <c r="U197" s="1" t="s">
        <v>14</v>
      </c>
      <c r="V197">
        <f>VLOOKUP(B197,'Small Pricelist'!A:L,11,0)</f>
        <v>43.718949609652235</v>
      </c>
      <c r="W197" s="1" t="s">
        <v>14</v>
      </c>
      <c r="X197">
        <f>VLOOKUP(B197,'Small Pricelist'!A:L,12,0)</f>
        <v>5636</v>
      </c>
      <c r="Y197" s="1" t="s">
        <v>12</v>
      </c>
      <c r="Z197" s="25" t="str">
        <f t="shared" si="3"/>
        <v>&lt;tr&gt; &lt;td&gt;7511269&lt;/td&gt;&lt;td&gt;SERVO GEAR SUPER 80W-90-20 L PROMO&lt;/td&gt;&lt;td&gt;8100&lt;/td&gt;&lt;td&gt;6674.4&lt;/td&gt;&lt;td&gt;44&lt;/td&gt;&lt;td&gt;0&lt;/td&gt;&lt;td&gt;0&lt;/td&gt;&lt;td&gt;5636&lt;/td&gt;&lt;td&gt;2464&lt;/td&gt;&lt;td&gt;123.2&lt;/td&gt;&lt;td&gt;43.7189496096522&lt;/td&gt;&lt;td&gt;5636&lt;/td&gt;&lt;/tr&gt;</v>
      </c>
    </row>
    <row r="198" spans="1:26" x14ac:dyDescent="0.3">
      <c r="A198" s="1" t="s">
        <v>13</v>
      </c>
      <c r="B198">
        <f>'Small Pricelist'!A197</f>
        <v>7515184</v>
      </c>
      <c r="C198" s="1" t="s">
        <v>14</v>
      </c>
      <c r="D198" t="str">
        <f>VLOOKUP(B198,'Small Pricelist'!A:L,2,0)</f>
        <v>SERVO GEAR SUPER 85W-140 - 20 X 1 L HDPE</v>
      </c>
      <c r="E198" s="1" t="s">
        <v>14</v>
      </c>
      <c r="F198">
        <f>VLOOKUP(B198,'Small Pricelist'!A:L,3,0)</f>
        <v>490</v>
      </c>
      <c r="G198" s="1" t="s">
        <v>14</v>
      </c>
      <c r="H198">
        <f>VLOOKUP(B198,'Small Pricelist'!A:L,4,0)</f>
        <v>379.11300000000006</v>
      </c>
      <c r="I198" s="1" t="s">
        <v>14</v>
      </c>
      <c r="J198">
        <f>VLOOKUP(B198,'Small Pricelist'!A:L,5,0)</f>
        <v>24</v>
      </c>
      <c r="K198" s="1" t="s">
        <v>14</v>
      </c>
      <c r="L198">
        <f>VLOOKUP(B198,'Small Pricelist'!A:L,6,0)</f>
        <v>0</v>
      </c>
      <c r="M198" s="1" t="s">
        <v>14</v>
      </c>
      <c r="N198">
        <f>VLOOKUP(B198,'Small Pricelist'!A:L,7,0)</f>
        <v>0</v>
      </c>
      <c r="O198" s="1" t="s">
        <v>14</v>
      </c>
      <c r="P198">
        <f>VLOOKUP(B198,'Small Pricelist'!A:L,8,0)</f>
        <v>350.79300000000006</v>
      </c>
      <c r="Q198" s="1" t="s">
        <v>14</v>
      </c>
      <c r="R198">
        <f>VLOOKUP(B198,'Small Pricelist'!A:L,9,0)</f>
        <v>139.20699999999994</v>
      </c>
      <c r="S198" s="1" t="s">
        <v>14</v>
      </c>
      <c r="T198">
        <f>VLOOKUP(B198,'Small Pricelist'!A:L,10,0)</f>
        <v>139.20699999999994</v>
      </c>
      <c r="U198" s="1" t="s">
        <v>14</v>
      </c>
      <c r="V198">
        <f>VLOOKUP(B198,'Small Pricelist'!A:L,11,0)</f>
        <v>39.683517059918508</v>
      </c>
      <c r="W198" s="1" t="s">
        <v>14</v>
      </c>
      <c r="X198">
        <f>VLOOKUP(B198,'Small Pricelist'!A:L,12,0)</f>
        <v>7015.860000000006</v>
      </c>
      <c r="Y198" s="1" t="s">
        <v>12</v>
      </c>
      <c r="Z198" s="25" t="str">
        <f t="shared" si="3"/>
        <v>&lt;tr&gt; &lt;td&gt;7515184&lt;/td&gt;&lt;td&gt;SERVO GEAR SUPER 85W-140 - 20 X 1 L HDPE&lt;/td&gt;&lt;td&gt;490&lt;/td&gt;&lt;td&gt;379.113&lt;/td&gt;&lt;td&gt;24&lt;/td&gt;&lt;td&gt;0&lt;/td&gt;&lt;td&gt;0&lt;/td&gt;&lt;td&gt;350.793&lt;/td&gt;&lt;td&gt;139.207&lt;/td&gt;&lt;td&gt;139.207&lt;/td&gt;&lt;td&gt;39.6835170599185&lt;/td&gt;&lt;td&gt;7015.86000000001&lt;/td&gt;&lt;/tr&gt;</v>
      </c>
    </row>
    <row r="199" spans="1:26" x14ac:dyDescent="0.3">
      <c r="A199" s="1" t="s">
        <v>13</v>
      </c>
      <c r="B199">
        <f>'Small Pricelist'!A198</f>
        <v>7515240</v>
      </c>
      <c r="C199" s="1" t="s">
        <v>14</v>
      </c>
      <c r="D199" t="str">
        <f>VLOOKUP(B199,'Small Pricelist'!A:L,2,0)</f>
        <v>SERVO GEAR SUPER 85W-140-4 X 5 L PROMO</v>
      </c>
      <c r="E199" s="1" t="s">
        <v>14</v>
      </c>
      <c r="F199">
        <f>VLOOKUP(B199,'Small Pricelist'!A:L,3,0)</f>
        <v>2100</v>
      </c>
      <c r="G199" s="1" t="s">
        <v>14</v>
      </c>
      <c r="H199">
        <f>VLOOKUP(B199,'Small Pricelist'!A:L,4,0)</f>
        <v>1717.17</v>
      </c>
      <c r="I199" s="1" t="s">
        <v>14</v>
      </c>
      <c r="J199">
        <f>VLOOKUP(B199,'Small Pricelist'!A:L,5,0)</f>
        <v>29</v>
      </c>
      <c r="K199" s="1" t="s">
        <v>14</v>
      </c>
      <c r="L199">
        <f>VLOOKUP(B199,'Small Pricelist'!A:L,6,0)</f>
        <v>0</v>
      </c>
      <c r="M199" s="1" t="s">
        <v>14</v>
      </c>
      <c r="N199">
        <f>VLOOKUP(B199,'Small Pricelist'!A:L,7,0)</f>
        <v>0</v>
      </c>
      <c r="O199" s="1" t="s">
        <v>14</v>
      </c>
      <c r="P199">
        <f>VLOOKUP(B199,'Small Pricelist'!A:L,8,0)</f>
        <v>1546.07</v>
      </c>
      <c r="Q199" s="1" t="s">
        <v>14</v>
      </c>
      <c r="R199">
        <f>VLOOKUP(B199,'Small Pricelist'!A:L,9,0)</f>
        <v>553.93000000000006</v>
      </c>
      <c r="S199" s="1" t="s">
        <v>14</v>
      </c>
      <c r="T199">
        <f>VLOOKUP(B199,'Small Pricelist'!A:L,10,0)</f>
        <v>110.786</v>
      </c>
      <c r="U199" s="1" t="s">
        <v>14</v>
      </c>
      <c r="V199">
        <f>VLOOKUP(B199,'Small Pricelist'!A:L,11,0)</f>
        <v>35.828261333574815</v>
      </c>
      <c r="W199" s="1" t="s">
        <v>14</v>
      </c>
      <c r="X199">
        <f>VLOOKUP(B199,'Small Pricelist'!A:L,12,0)</f>
        <v>6184.28</v>
      </c>
      <c r="Y199" s="1" t="s">
        <v>12</v>
      </c>
      <c r="Z199" s="25" t="str">
        <f t="shared" si="3"/>
        <v>&lt;tr&gt; &lt;td&gt;7515240&lt;/td&gt;&lt;td&gt;SERVO GEAR SUPER 85W-140-4 X 5 L PROMO&lt;/td&gt;&lt;td&gt;2100&lt;/td&gt;&lt;td&gt;1717.17&lt;/td&gt;&lt;td&gt;29&lt;/td&gt;&lt;td&gt;0&lt;/td&gt;&lt;td&gt;0&lt;/td&gt;&lt;td&gt;1546.07&lt;/td&gt;&lt;td&gt;553.93&lt;/td&gt;&lt;td&gt;110.786&lt;/td&gt;&lt;td&gt;35.8282613335748&lt;/td&gt;&lt;td&gt;6184.28&lt;/td&gt;&lt;/tr&gt;</v>
      </c>
    </row>
    <row r="200" spans="1:26" x14ac:dyDescent="0.3">
      <c r="A200" s="1" t="s">
        <v>13</v>
      </c>
      <c r="B200">
        <f>'Small Pricelist'!A199</f>
        <v>7515265</v>
      </c>
      <c r="C200" s="1" t="s">
        <v>14</v>
      </c>
      <c r="D200" t="str">
        <f>VLOOKUP(B200,'Small Pricelist'!A:L,2,0)</f>
        <v>SERVO GEAR SUPER 85W-140-20 L BUC</v>
      </c>
      <c r="E200" s="1" t="s">
        <v>14</v>
      </c>
      <c r="F200">
        <f>VLOOKUP(B200,'Small Pricelist'!A:L,3,0)</f>
        <v>8850</v>
      </c>
      <c r="G200" s="1" t="s">
        <v>14</v>
      </c>
      <c r="H200">
        <f>VLOOKUP(B200,'Small Pricelist'!A:L,4,0)</f>
        <v>7271.16</v>
      </c>
      <c r="I200" s="1" t="s">
        <v>14</v>
      </c>
      <c r="J200">
        <f>VLOOKUP(B200,'Small Pricelist'!A:L,5,0)</f>
        <v>44</v>
      </c>
      <c r="K200" s="1" t="s">
        <v>14</v>
      </c>
      <c r="L200">
        <f>VLOOKUP(B200,'Small Pricelist'!A:L,6,0)</f>
        <v>0</v>
      </c>
      <c r="M200" s="1" t="s">
        <v>14</v>
      </c>
      <c r="N200">
        <f>VLOOKUP(B200,'Small Pricelist'!A:L,7,0)</f>
        <v>0</v>
      </c>
      <c r="O200" s="1" t="s">
        <v>14</v>
      </c>
      <c r="P200">
        <f>VLOOKUP(B200,'Small Pricelist'!A:L,8,0)</f>
        <v>6232.7599999999993</v>
      </c>
      <c r="Q200" s="1" t="s">
        <v>14</v>
      </c>
      <c r="R200">
        <f>VLOOKUP(B200,'Small Pricelist'!A:L,9,0)</f>
        <v>2617.2400000000007</v>
      </c>
      <c r="S200" s="1" t="s">
        <v>14</v>
      </c>
      <c r="T200">
        <f>VLOOKUP(B200,'Small Pricelist'!A:L,10,0)</f>
        <v>130.86200000000002</v>
      </c>
      <c r="U200" s="1" t="s">
        <v>14</v>
      </c>
      <c r="V200">
        <f>VLOOKUP(B200,'Small Pricelist'!A:L,11,0)</f>
        <v>41.991669822037125</v>
      </c>
      <c r="W200" s="1" t="s">
        <v>14</v>
      </c>
      <c r="X200">
        <f>VLOOKUP(B200,'Small Pricelist'!A:L,12,0)</f>
        <v>6232.7600000000039</v>
      </c>
      <c r="Y200" s="1" t="s">
        <v>12</v>
      </c>
      <c r="Z200" s="25" t="str">
        <f t="shared" si="3"/>
        <v>&lt;tr&gt; &lt;td&gt;7515265&lt;/td&gt;&lt;td&gt;SERVO GEAR SUPER 85W-140-20 L BUC&lt;/td&gt;&lt;td&gt;8850&lt;/td&gt;&lt;td&gt;7271.16&lt;/td&gt;&lt;td&gt;44&lt;/td&gt;&lt;td&gt;0&lt;/td&gt;&lt;td&gt;0&lt;/td&gt;&lt;td&gt;6232.76&lt;/td&gt;&lt;td&gt;2617.24&lt;/td&gt;&lt;td&gt;130.862&lt;/td&gt;&lt;td&gt;41.9916698220371&lt;/td&gt;&lt;td&gt;6232.76&lt;/td&gt;&lt;/tr&gt;</v>
      </c>
    </row>
    <row r="201" spans="1:26" x14ac:dyDescent="0.3">
      <c r="A201" s="1" t="s">
        <v>13</v>
      </c>
      <c r="B201">
        <f>'Small Pricelist'!A200</f>
        <v>7515269</v>
      </c>
      <c r="C201" s="1" t="s">
        <v>14</v>
      </c>
      <c r="D201" t="str">
        <f>VLOOKUP(B201,'Small Pricelist'!A:L,2,0)</f>
        <v>SERVO GEAR SUPER 85W-140-20 L PROMO</v>
      </c>
      <c r="E201" s="1" t="s">
        <v>14</v>
      </c>
      <c r="F201">
        <f>VLOOKUP(B201,'Small Pricelist'!A:L,3,0)</f>
        <v>8850</v>
      </c>
      <c r="G201" s="1" t="s">
        <v>14</v>
      </c>
      <c r="H201">
        <f>VLOOKUP(B201,'Small Pricelist'!A:L,4,0)</f>
        <v>7271.16</v>
      </c>
      <c r="I201" s="1" t="s">
        <v>14</v>
      </c>
      <c r="J201">
        <f>VLOOKUP(B201,'Small Pricelist'!A:L,5,0)</f>
        <v>44</v>
      </c>
      <c r="K201" s="1" t="s">
        <v>14</v>
      </c>
      <c r="L201">
        <f>VLOOKUP(B201,'Small Pricelist'!A:L,6,0)</f>
        <v>0</v>
      </c>
      <c r="M201" s="1" t="s">
        <v>14</v>
      </c>
      <c r="N201">
        <f>VLOOKUP(B201,'Small Pricelist'!A:L,7,0)</f>
        <v>0</v>
      </c>
      <c r="O201" s="1" t="s">
        <v>14</v>
      </c>
      <c r="P201">
        <f>VLOOKUP(B201,'Small Pricelist'!A:L,8,0)</f>
        <v>6232.7599999999993</v>
      </c>
      <c r="Q201" s="1" t="s">
        <v>14</v>
      </c>
      <c r="R201">
        <f>VLOOKUP(B201,'Small Pricelist'!A:L,9,0)</f>
        <v>2617.2400000000007</v>
      </c>
      <c r="S201" s="1" t="s">
        <v>14</v>
      </c>
      <c r="T201">
        <f>VLOOKUP(B201,'Small Pricelist'!A:L,10,0)</f>
        <v>130.86200000000002</v>
      </c>
      <c r="U201" s="1" t="s">
        <v>14</v>
      </c>
      <c r="V201">
        <f>VLOOKUP(B201,'Small Pricelist'!A:L,11,0)</f>
        <v>41.991669822037125</v>
      </c>
      <c r="W201" s="1" t="s">
        <v>14</v>
      </c>
      <c r="X201">
        <f>VLOOKUP(B201,'Small Pricelist'!A:L,12,0)</f>
        <v>6232.7599999999993</v>
      </c>
      <c r="Y201" s="1" t="s">
        <v>12</v>
      </c>
      <c r="Z201" s="25" t="str">
        <f t="shared" si="3"/>
        <v>&lt;tr&gt; &lt;td&gt;7515269&lt;/td&gt;&lt;td&gt;SERVO GEAR SUPER 85W-140-20 L PROMO&lt;/td&gt;&lt;td&gt;8850&lt;/td&gt;&lt;td&gt;7271.16&lt;/td&gt;&lt;td&gt;44&lt;/td&gt;&lt;td&gt;0&lt;/td&gt;&lt;td&gt;0&lt;/td&gt;&lt;td&gt;6232.76&lt;/td&gt;&lt;td&gt;2617.24&lt;/td&gt;&lt;td&gt;130.862&lt;/td&gt;&lt;td&gt;41.9916698220371&lt;/td&gt;&lt;td&gt;6232.76&lt;/td&gt;&lt;/tr&gt;</v>
      </c>
    </row>
    <row r="202" spans="1:26" x14ac:dyDescent="0.3">
      <c r="A202" s="1" t="s">
        <v>13</v>
      </c>
      <c r="B202">
        <f>'Small Pricelist'!A201</f>
        <v>7530228</v>
      </c>
      <c r="C202" s="1" t="s">
        <v>14</v>
      </c>
      <c r="D202" t="str">
        <f>VLOOKUP(B202,'Small Pricelist'!A:L,2,0)</f>
        <v>SERVO CHHAKADA ENG OIL 20W-40-20X1.2L LI</v>
      </c>
      <c r="E202" s="1" t="s">
        <v>14</v>
      </c>
      <c r="F202">
        <f>VLOOKUP(B202,'Small Pricelist'!A:L,3,0)</f>
        <v>378</v>
      </c>
      <c r="G202" s="1" t="s">
        <v>14</v>
      </c>
      <c r="H202">
        <f>VLOOKUP(B202,'Small Pricelist'!A:L,4,0)</f>
        <v>307.50299999999999</v>
      </c>
      <c r="I202" s="1" t="s">
        <v>14</v>
      </c>
      <c r="J202">
        <f>VLOOKUP(B202,'Small Pricelist'!A:L,5,0)</f>
        <v>0</v>
      </c>
      <c r="K202" s="1" t="s">
        <v>14</v>
      </c>
      <c r="L202">
        <f>VLOOKUP(B202,'Small Pricelist'!A:L,6,0)</f>
        <v>0</v>
      </c>
      <c r="M202" s="1" t="s">
        <v>14</v>
      </c>
      <c r="N202">
        <f>VLOOKUP(B202,'Small Pricelist'!A:L,7,0)</f>
        <v>0</v>
      </c>
      <c r="O202" s="1" t="s">
        <v>14</v>
      </c>
      <c r="P202">
        <f>VLOOKUP(B202,'Small Pricelist'!A:L,8,0)</f>
        <v>307.50299999999993</v>
      </c>
      <c r="Q202" s="1" t="s">
        <v>14</v>
      </c>
      <c r="R202">
        <f>VLOOKUP(B202,'Small Pricelist'!A:L,9,0)</f>
        <v>70.497000000000071</v>
      </c>
      <c r="S202" s="1" t="s">
        <v>14</v>
      </c>
      <c r="T202">
        <f>VLOOKUP(B202,'Small Pricelist'!A:L,10,0)</f>
        <v>58.747500000000059</v>
      </c>
      <c r="U202" s="1" t="s">
        <v>14</v>
      </c>
      <c r="V202">
        <f>VLOOKUP(B202,'Small Pricelist'!A:L,11,0)</f>
        <v>22.925629993853747</v>
      </c>
      <c r="W202" s="1" t="s">
        <v>14</v>
      </c>
      <c r="X202">
        <f>VLOOKUP(B202,'Small Pricelist'!A:L,12,0)</f>
        <v>6150.0599999999986</v>
      </c>
      <c r="Y202" s="1" t="s">
        <v>12</v>
      </c>
      <c r="Z202" s="25" t="str">
        <f t="shared" si="3"/>
        <v>&lt;tr&gt; &lt;td&gt;7530228&lt;/td&gt;&lt;td&gt;SERVO CHHAKADA ENG OIL 20W-40-20X1.2L LI&lt;/td&gt;&lt;td&gt;378&lt;/td&gt;&lt;td&gt;307.503&lt;/td&gt;&lt;td&gt;0&lt;/td&gt;&lt;td&gt;0&lt;/td&gt;&lt;td&gt;0&lt;/td&gt;&lt;td&gt;307.503&lt;/td&gt;&lt;td&gt;70.4970000000001&lt;/td&gt;&lt;td&gt;58.7475000000001&lt;/td&gt;&lt;td&gt;22.9256299938537&lt;/td&gt;&lt;td&gt;6150.06&lt;/td&gt;&lt;/tr&gt;</v>
      </c>
    </row>
    <row r="203" spans="1:26" x14ac:dyDescent="0.3">
      <c r="A203" s="1" t="s">
        <v>13</v>
      </c>
      <c r="B203">
        <f>'Small Pricelist'!A202</f>
        <v>7553213</v>
      </c>
      <c r="C203" s="1" t="s">
        <v>14</v>
      </c>
      <c r="D203" t="str">
        <f>VLOOKUP(B203,'Small Pricelist'!A:L,2,0)</f>
        <v>SERVO TILLER SUPER 20W-40-4 X 3.5 L</v>
      </c>
      <c r="E203" s="1" t="s">
        <v>14</v>
      </c>
      <c r="F203">
        <f>VLOOKUP(B203,'Small Pricelist'!A:L,3,0)</f>
        <v>1341</v>
      </c>
      <c r="G203" s="1" t="s">
        <v>14</v>
      </c>
      <c r="H203">
        <f>VLOOKUP(B203,'Small Pricelist'!A:L,4,0)</f>
        <v>1027.3400999999999</v>
      </c>
      <c r="I203" s="1" t="s">
        <v>14</v>
      </c>
      <c r="J203">
        <f>VLOOKUP(B203,'Small Pricelist'!A:L,5,0)</f>
        <v>24</v>
      </c>
      <c r="K203" s="1" t="s">
        <v>14</v>
      </c>
      <c r="L203">
        <f>VLOOKUP(B203,'Small Pricelist'!A:L,6,0)</f>
        <v>0</v>
      </c>
      <c r="M203" s="1" t="s">
        <v>14</v>
      </c>
      <c r="N203">
        <f>VLOOKUP(B203,'Small Pricelist'!A:L,7,0)</f>
        <v>0</v>
      </c>
      <c r="O203" s="1" t="s">
        <v>14</v>
      </c>
      <c r="P203">
        <f>VLOOKUP(B203,'Small Pricelist'!A:L,8,0)</f>
        <v>928.22009999999989</v>
      </c>
      <c r="Q203" s="1" t="s">
        <v>14</v>
      </c>
      <c r="R203">
        <f>VLOOKUP(B203,'Small Pricelist'!A:L,9,0)</f>
        <v>412.77990000000011</v>
      </c>
      <c r="S203" s="1" t="s">
        <v>14</v>
      </c>
      <c r="T203">
        <f>VLOOKUP(B203,'Small Pricelist'!A:L,10,0)</f>
        <v>117.93711428571436</v>
      </c>
      <c r="U203" s="1" t="s">
        <v>14</v>
      </c>
      <c r="V203">
        <f>VLOOKUP(B203,'Small Pricelist'!A:L,11,0)</f>
        <v>44.470045412720552</v>
      </c>
      <c r="W203" s="1" t="s">
        <v>14</v>
      </c>
      <c r="X203">
        <f>VLOOKUP(B203,'Small Pricelist'!A:L,12,0)</f>
        <v>3712.8804000000005</v>
      </c>
      <c r="Y203" s="1" t="s">
        <v>12</v>
      </c>
      <c r="Z203" s="25" t="str">
        <f t="shared" si="3"/>
        <v>&lt;tr&gt; &lt;td&gt;7553213&lt;/td&gt;&lt;td&gt;SERVO TILLER SUPER 20W-40-4 X 3.5 L&lt;/td&gt;&lt;td&gt;1341&lt;/td&gt;&lt;td&gt;1027.3401&lt;/td&gt;&lt;td&gt;24&lt;/td&gt;&lt;td&gt;0&lt;/td&gt;&lt;td&gt;0&lt;/td&gt;&lt;td&gt;928.2201&lt;/td&gt;&lt;td&gt;412.7799&lt;/td&gt;&lt;td&gt;117.937114285714&lt;/td&gt;&lt;td&gt;44.4700454127206&lt;/td&gt;&lt;td&gt;3712.8804&lt;/td&gt;&lt;/tr&gt;</v>
      </c>
    </row>
    <row r="204" spans="1:26" x14ac:dyDescent="0.3">
      <c r="A204" s="1" t="s">
        <v>13</v>
      </c>
      <c r="B204">
        <f>'Small Pricelist'!A203</f>
        <v>7554251</v>
      </c>
      <c r="C204" s="1" t="s">
        <v>14</v>
      </c>
      <c r="D204" t="str">
        <f>VLOOKUP(B204,'Small Pricelist'!A:L,2,0)</f>
        <v>SERVO TRCTR OIL PLS 15W40-7.5 L</v>
      </c>
      <c r="E204" s="1" t="s">
        <v>14</v>
      </c>
      <c r="F204">
        <f>VLOOKUP(B204,'Small Pricelist'!A:L,3,0)</f>
        <v>2788</v>
      </c>
      <c r="G204" s="1" t="s">
        <v>14</v>
      </c>
      <c r="H204">
        <f>VLOOKUP(B204,'Small Pricelist'!A:L,4,0)</f>
        <v>2384.2975999999999</v>
      </c>
      <c r="I204" s="1" t="s">
        <v>14</v>
      </c>
      <c r="J204">
        <f>VLOOKUP(B204,'Small Pricelist'!A:L,5,0)</f>
        <v>0</v>
      </c>
      <c r="K204" s="1" t="s">
        <v>14</v>
      </c>
      <c r="L204">
        <f>VLOOKUP(B204,'Small Pricelist'!A:L,6,0)</f>
        <v>0</v>
      </c>
      <c r="M204" s="1" t="s">
        <v>14</v>
      </c>
      <c r="N204">
        <f>VLOOKUP(B204,'Small Pricelist'!A:L,7,0)</f>
        <v>0</v>
      </c>
      <c r="O204" s="1" t="s">
        <v>14</v>
      </c>
      <c r="P204">
        <f>VLOOKUP(B204,'Small Pricelist'!A:L,8,0)</f>
        <v>2384.2975999999999</v>
      </c>
      <c r="Q204" s="1" t="s">
        <v>14</v>
      </c>
      <c r="R204">
        <f>VLOOKUP(B204,'Small Pricelist'!A:L,9,0)</f>
        <v>403.70240000000013</v>
      </c>
      <c r="S204" s="1" t="s">
        <v>14</v>
      </c>
      <c r="T204">
        <f>VLOOKUP(B204,'Small Pricelist'!A:L,10,0)</f>
        <v>53.826986666666699</v>
      </c>
      <c r="U204" s="1" t="s">
        <v>14</v>
      </c>
      <c r="V204">
        <f>VLOOKUP(B204,'Small Pricelist'!A:L,11,0)</f>
        <v>16.931711880261933</v>
      </c>
      <c r="W204" s="1" t="s">
        <v>14</v>
      </c>
      <c r="X204">
        <f>VLOOKUP(B204,'Small Pricelist'!A:L,12,0)</f>
        <v>2384.2976000000012</v>
      </c>
      <c r="Y204" s="1" t="s">
        <v>12</v>
      </c>
      <c r="Z204" s="25" t="str">
        <f t="shared" si="3"/>
        <v>&lt;tr&gt; &lt;td&gt;7554251&lt;/td&gt;&lt;td&gt;SERVO TRCTR OIL PLS 15W40-7.5 L&lt;/td&gt;&lt;td&gt;2788&lt;/td&gt;&lt;td&gt;2384.2976&lt;/td&gt;&lt;td&gt;0&lt;/td&gt;&lt;td&gt;0&lt;/td&gt;&lt;td&gt;0&lt;/td&gt;&lt;td&gt;2384.2976&lt;/td&gt;&lt;td&gt;403.7024&lt;/td&gt;&lt;td&gt;53.8269866666667&lt;/td&gt;&lt;td&gt;16.9317118802619&lt;/td&gt;&lt;td&gt;2384.2976&lt;/td&gt;&lt;/tr&gt;</v>
      </c>
    </row>
    <row r="205" spans="1:26" x14ac:dyDescent="0.3">
      <c r="A205" s="1" t="s">
        <v>13</v>
      </c>
      <c r="B205">
        <f>'Small Pricelist'!A204</f>
        <v>7554252</v>
      </c>
      <c r="C205" s="1" t="s">
        <v>14</v>
      </c>
      <c r="D205" t="str">
        <f>VLOOKUP(B205,'Small Pricelist'!A:L,2,0)</f>
        <v>SERVO TRCTR OIL PLS 15W40-8.5 L BUC</v>
      </c>
      <c r="E205" s="1" t="s">
        <v>14</v>
      </c>
      <c r="F205">
        <f>VLOOKUP(B205,'Small Pricelist'!A:L,3,0)</f>
        <v>3183</v>
      </c>
      <c r="G205" s="1" t="s">
        <v>14</v>
      </c>
      <c r="H205">
        <f>VLOOKUP(B205,'Small Pricelist'!A:L,4,0)</f>
        <v>2704.9134000000004</v>
      </c>
      <c r="I205" s="1" t="s">
        <v>14</v>
      </c>
      <c r="J205">
        <f>VLOOKUP(B205,'Small Pricelist'!A:L,5,0)</f>
        <v>0</v>
      </c>
      <c r="K205" s="1" t="s">
        <v>14</v>
      </c>
      <c r="L205">
        <f>VLOOKUP(B205,'Small Pricelist'!A:L,6,0)</f>
        <v>0</v>
      </c>
      <c r="M205" s="1" t="s">
        <v>14</v>
      </c>
      <c r="N205">
        <f>VLOOKUP(B205,'Small Pricelist'!A:L,7,0)</f>
        <v>0</v>
      </c>
      <c r="O205" s="1" t="s">
        <v>14</v>
      </c>
      <c r="P205">
        <f>VLOOKUP(B205,'Small Pricelist'!A:L,8,0)</f>
        <v>2704.9133999999999</v>
      </c>
      <c r="Q205" s="1" t="s">
        <v>14</v>
      </c>
      <c r="R205">
        <f>VLOOKUP(B205,'Small Pricelist'!A:L,9,0)</f>
        <v>478.08660000000009</v>
      </c>
      <c r="S205" s="1" t="s">
        <v>14</v>
      </c>
      <c r="T205">
        <f>VLOOKUP(B205,'Small Pricelist'!A:L,10,0)</f>
        <v>56.245482352941224</v>
      </c>
      <c r="U205" s="1" t="s">
        <v>14</v>
      </c>
      <c r="V205">
        <f>VLOOKUP(B205,'Small Pricelist'!A:L,11,0)</f>
        <v>17.674746999293955</v>
      </c>
      <c r="W205" s="1" t="s">
        <v>14</v>
      </c>
      <c r="X205">
        <f>VLOOKUP(B205,'Small Pricelist'!A:L,12,0)</f>
        <v>2704.9133999999999</v>
      </c>
      <c r="Y205" s="1" t="s">
        <v>12</v>
      </c>
      <c r="Z205" s="25" t="str">
        <f t="shared" si="3"/>
        <v>&lt;tr&gt; &lt;td&gt;7554252&lt;/td&gt;&lt;td&gt;SERVO TRCTR OIL PLS 15W40-8.5 L BUC&lt;/td&gt;&lt;td&gt;3183&lt;/td&gt;&lt;td&gt;2704.9134&lt;/td&gt;&lt;td&gt;0&lt;/td&gt;&lt;td&gt;0&lt;/td&gt;&lt;td&gt;0&lt;/td&gt;&lt;td&gt;2704.9134&lt;/td&gt;&lt;td&gt;478.0866&lt;/td&gt;&lt;td&gt;56.2454823529412&lt;/td&gt;&lt;td&gt;17.674746999294&lt;/td&gt;&lt;td&gt;2704.9134&lt;/td&gt;&lt;/tr&gt;</v>
      </c>
    </row>
    <row r="206" spans="1:26" x14ac:dyDescent="0.3">
      <c r="A206" s="1" t="s">
        <v>13</v>
      </c>
      <c r="B206">
        <f>'Small Pricelist'!A205</f>
        <v>7556184</v>
      </c>
      <c r="C206" s="1" t="s">
        <v>14</v>
      </c>
      <c r="D206" t="str">
        <f>VLOOKUP(B206,'Small Pricelist'!A:L,2,0)</f>
        <v>SERVO PRIDE TC 15W40 - 20X1L-HDPE</v>
      </c>
      <c r="E206" s="1" t="s">
        <v>14</v>
      </c>
      <c r="F206">
        <f>VLOOKUP(B206,'Small Pricelist'!A:L,3,0)</f>
        <v>400</v>
      </c>
      <c r="G206" s="1" t="s">
        <v>14</v>
      </c>
      <c r="H206">
        <f>VLOOKUP(B206,'Small Pricelist'!A:L,4,0)</f>
        <v>323.16000000000003</v>
      </c>
      <c r="I206" s="1" t="s">
        <v>14</v>
      </c>
      <c r="J206">
        <f>VLOOKUP(B206,'Small Pricelist'!A:L,5,0)</f>
        <v>9</v>
      </c>
      <c r="K206" s="1" t="s">
        <v>14</v>
      </c>
      <c r="L206">
        <f>VLOOKUP(B206,'Small Pricelist'!A:L,6,0)</f>
        <v>0</v>
      </c>
      <c r="M206" s="1" t="s">
        <v>14</v>
      </c>
      <c r="N206">
        <f>VLOOKUP(B206,'Small Pricelist'!A:L,7,0)</f>
        <v>0</v>
      </c>
      <c r="O206" s="1" t="s">
        <v>14</v>
      </c>
      <c r="P206">
        <f>VLOOKUP(B206,'Small Pricelist'!A:L,8,0)</f>
        <v>312.54000000000002</v>
      </c>
      <c r="Q206" s="1" t="s">
        <v>14</v>
      </c>
      <c r="R206">
        <f>VLOOKUP(B206,'Small Pricelist'!A:L,9,0)</f>
        <v>87.45999999999998</v>
      </c>
      <c r="S206" s="1" t="s">
        <v>14</v>
      </c>
      <c r="T206">
        <f>VLOOKUP(B206,'Small Pricelist'!A:L,10,0)</f>
        <v>87.45999999999998</v>
      </c>
      <c r="U206" s="1" t="s">
        <v>14</v>
      </c>
      <c r="V206">
        <f>VLOOKUP(B206,'Small Pricelist'!A:L,11,0)</f>
        <v>27.983618096883589</v>
      </c>
      <c r="W206" s="1" t="s">
        <v>14</v>
      </c>
      <c r="X206">
        <f>VLOOKUP(B206,'Small Pricelist'!A:L,12,0)</f>
        <v>6250.8000000000047</v>
      </c>
      <c r="Y206" s="1" t="s">
        <v>12</v>
      </c>
      <c r="Z206" s="25" t="str">
        <f t="shared" si="3"/>
        <v>&lt;tr&gt; &lt;td&gt;7556184&lt;/td&gt;&lt;td&gt;SERVO PRIDE TC 15W40 - 20X1L-HDPE&lt;/td&gt;&lt;td&gt;400&lt;/td&gt;&lt;td&gt;323.16&lt;/td&gt;&lt;td&gt;9&lt;/td&gt;&lt;td&gt;0&lt;/td&gt;&lt;td&gt;0&lt;/td&gt;&lt;td&gt;312.54&lt;/td&gt;&lt;td&gt;87.46&lt;/td&gt;&lt;td&gt;87.46&lt;/td&gt;&lt;td&gt;27.9836180968836&lt;/td&gt;&lt;td&gt;6250.8&lt;/td&gt;&lt;/tr&gt;</v>
      </c>
    </row>
    <row r="207" spans="1:26" x14ac:dyDescent="0.3">
      <c r="A207" s="1" t="s">
        <v>13</v>
      </c>
      <c r="B207">
        <f>'Small Pricelist'!A206</f>
        <v>7556203</v>
      </c>
      <c r="C207" s="1" t="s">
        <v>14</v>
      </c>
      <c r="D207" t="str">
        <f>VLOOKUP(B207,'Small Pricelist'!A:L,2,0)</f>
        <v>SERVO PRIDE TC 15W-40 - 4 X 3 L HDPE</v>
      </c>
      <c r="E207" s="1" t="s">
        <v>14</v>
      </c>
      <c r="F207">
        <f>VLOOKUP(B207,'Small Pricelist'!A:L,3,0)</f>
        <v>1180</v>
      </c>
      <c r="G207" s="1" t="s">
        <v>14</v>
      </c>
      <c r="H207">
        <f>VLOOKUP(B207,'Small Pricelist'!A:L,4,0)</f>
        <v>959.45800000000008</v>
      </c>
      <c r="I207" s="1" t="s">
        <v>14</v>
      </c>
      <c r="J207">
        <f>VLOOKUP(B207,'Small Pricelist'!A:L,5,0)</f>
        <v>35</v>
      </c>
      <c r="K207" s="1" t="s">
        <v>14</v>
      </c>
      <c r="L207">
        <f>VLOOKUP(B207,'Small Pricelist'!A:L,6,0)</f>
        <v>0</v>
      </c>
      <c r="M207" s="1" t="s">
        <v>14</v>
      </c>
      <c r="N207">
        <f>VLOOKUP(B207,'Small Pricelist'!A:L,7,0)</f>
        <v>0</v>
      </c>
      <c r="O207" s="1" t="s">
        <v>14</v>
      </c>
      <c r="P207">
        <f>VLOOKUP(B207,'Small Pricelist'!A:L,8,0)</f>
        <v>835.55800000000011</v>
      </c>
      <c r="Q207" s="1" t="s">
        <v>14</v>
      </c>
      <c r="R207">
        <f>VLOOKUP(B207,'Small Pricelist'!A:L,9,0)</f>
        <v>344.44199999999989</v>
      </c>
      <c r="S207" s="1" t="s">
        <v>14</v>
      </c>
      <c r="T207">
        <f>VLOOKUP(B207,'Small Pricelist'!A:L,10,0)</f>
        <v>114.81399999999996</v>
      </c>
      <c r="U207" s="1" t="s">
        <v>14</v>
      </c>
      <c r="V207">
        <f>VLOOKUP(B207,'Small Pricelist'!A:L,11,0)</f>
        <v>41.222991102951546</v>
      </c>
      <c r="W207" s="1" t="s">
        <v>14</v>
      </c>
      <c r="X207">
        <f>VLOOKUP(B207,'Small Pricelist'!A:L,12,0)</f>
        <v>3342.2320000000018</v>
      </c>
      <c r="Y207" s="1" t="s">
        <v>12</v>
      </c>
      <c r="Z207" s="25" t="str">
        <f t="shared" si="3"/>
        <v>&lt;tr&gt; &lt;td&gt;7556203&lt;/td&gt;&lt;td&gt;SERVO PRIDE TC 15W-40 - 4 X 3 L HDPE&lt;/td&gt;&lt;td&gt;1180&lt;/td&gt;&lt;td&gt;959.458&lt;/td&gt;&lt;td&gt;35&lt;/td&gt;&lt;td&gt;0&lt;/td&gt;&lt;td&gt;0&lt;/td&gt;&lt;td&gt;835.558&lt;/td&gt;&lt;td&gt;344.442&lt;/td&gt;&lt;td&gt;114.814&lt;/td&gt;&lt;td&gt;41.2229911029515&lt;/td&gt;&lt;td&gt;3342.232&lt;/td&gt;&lt;/tr&gt;</v>
      </c>
    </row>
    <row r="208" spans="1:26" x14ac:dyDescent="0.3">
      <c r="A208" s="1" t="s">
        <v>13</v>
      </c>
      <c r="B208">
        <f>'Small Pricelist'!A207</f>
        <v>7556204</v>
      </c>
      <c r="C208" s="1" t="s">
        <v>14</v>
      </c>
      <c r="D208" t="str">
        <f>VLOOKUP(B208,'Small Pricelist'!A:L,2,0)</f>
        <v>SERVO PRIDE TC 15W40-4X3 L PROMO</v>
      </c>
      <c r="E208" s="1" t="s">
        <v>14</v>
      </c>
      <c r="F208">
        <f>VLOOKUP(B208,'Small Pricelist'!A:L,3,0)</f>
        <v>1180</v>
      </c>
      <c r="G208" s="1" t="s">
        <v>14</v>
      </c>
      <c r="H208">
        <f>VLOOKUP(B208,'Small Pricelist'!A:L,4,0)</f>
        <v>959.45800000000008</v>
      </c>
      <c r="I208" s="1" t="s">
        <v>14</v>
      </c>
      <c r="J208">
        <f>VLOOKUP(B208,'Small Pricelist'!A:L,5,0)</f>
        <v>35</v>
      </c>
      <c r="K208" s="1" t="s">
        <v>14</v>
      </c>
      <c r="L208">
        <f>VLOOKUP(B208,'Small Pricelist'!A:L,6,0)</f>
        <v>0</v>
      </c>
      <c r="M208" s="1" t="s">
        <v>14</v>
      </c>
      <c r="N208">
        <f>VLOOKUP(B208,'Small Pricelist'!A:L,7,0)</f>
        <v>0</v>
      </c>
      <c r="O208" s="1" t="s">
        <v>14</v>
      </c>
      <c r="P208">
        <f>VLOOKUP(B208,'Small Pricelist'!A:L,8,0)</f>
        <v>835.55800000000011</v>
      </c>
      <c r="Q208" s="1" t="s">
        <v>14</v>
      </c>
      <c r="R208">
        <f>VLOOKUP(B208,'Small Pricelist'!A:L,9,0)</f>
        <v>344.44199999999989</v>
      </c>
      <c r="S208" s="1" t="s">
        <v>14</v>
      </c>
      <c r="T208">
        <f>VLOOKUP(B208,'Small Pricelist'!A:L,10,0)</f>
        <v>114.81399999999996</v>
      </c>
      <c r="U208" s="1" t="s">
        <v>14</v>
      </c>
      <c r="V208">
        <f>VLOOKUP(B208,'Small Pricelist'!A:L,11,0)</f>
        <v>41.222991102951546</v>
      </c>
      <c r="W208" s="1" t="s">
        <v>14</v>
      </c>
      <c r="X208">
        <f>VLOOKUP(B208,'Small Pricelist'!A:L,12,0)</f>
        <v>3342.2320000000004</v>
      </c>
      <c r="Y208" s="1" t="s">
        <v>12</v>
      </c>
      <c r="Z208" s="25" t="str">
        <f t="shared" si="3"/>
        <v>&lt;tr&gt; &lt;td&gt;7556204&lt;/td&gt;&lt;td&gt;SERVO PRIDE TC 15W40-4X3 L PROMO&lt;/td&gt;&lt;td&gt;1180&lt;/td&gt;&lt;td&gt;959.458&lt;/td&gt;&lt;td&gt;35&lt;/td&gt;&lt;td&gt;0&lt;/td&gt;&lt;td&gt;0&lt;/td&gt;&lt;td&gt;835.558&lt;/td&gt;&lt;td&gt;344.442&lt;/td&gt;&lt;td&gt;114.814&lt;/td&gt;&lt;td&gt;41.2229911029515&lt;/td&gt;&lt;td&gt;3342.232&lt;/td&gt;&lt;/tr&gt;</v>
      </c>
    </row>
    <row r="209" spans="1:26" x14ac:dyDescent="0.3">
      <c r="A209" s="1" t="s">
        <v>13</v>
      </c>
      <c r="B209">
        <f>'Small Pricelist'!A208</f>
        <v>7556234</v>
      </c>
      <c r="C209" s="1" t="s">
        <v>14</v>
      </c>
      <c r="D209" t="str">
        <f>VLOOKUP(B209,'Small Pricelist'!A:L,2,0)</f>
        <v>SERVO PRIDE TC 15W-40- 4 X 5L</v>
      </c>
      <c r="E209" s="1" t="s">
        <v>14</v>
      </c>
      <c r="F209">
        <f>VLOOKUP(B209,'Small Pricelist'!A:L,3,0)</f>
        <v>1950</v>
      </c>
      <c r="G209" s="1" t="s">
        <v>14</v>
      </c>
      <c r="H209">
        <f>VLOOKUP(B209,'Small Pricelist'!A:L,4,0)</f>
        <v>1588.2750000000001</v>
      </c>
      <c r="I209" s="1" t="s">
        <v>14</v>
      </c>
      <c r="J209">
        <f>VLOOKUP(B209,'Small Pricelist'!A:L,5,0)</f>
        <v>20</v>
      </c>
      <c r="K209" s="1" t="s">
        <v>14</v>
      </c>
      <c r="L209">
        <f>VLOOKUP(B209,'Small Pricelist'!A:L,6,0)</f>
        <v>0</v>
      </c>
      <c r="M209" s="1" t="s">
        <v>14</v>
      </c>
      <c r="N209">
        <f>VLOOKUP(B209,'Small Pricelist'!A:L,7,0)</f>
        <v>0</v>
      </c>
      <c r="O209" s="1" t="s">
        <v>14</v>
      </c>
      <c r="P209">
        <f>VLOOKUP(B209,'Small Pricelist'!A:L,8,0)</f>
        <v>1470.2750000000001</v>
      </c>
      <c r="Q209" s="1" t="s">
        <v>14</v>
      </c>
      <c r="R209">
        <f>VLOOKUP(B209,'Small Pricelist'!A:L,9,0)</f>
        <v>479.72499999999991</v>
      </c>
      <c r="S209" s="1" t="s">
        <v>14</v>
      </c>
      <c r="T209">
        <f>VLOOKUP(B209,'Small Pricelist'!A:L,10,0)</f>
        <v>95.944999999999993</v>
      </c>
      <c r="U209" s="1" t="s">
        <v>14</v>
      </c>
      <c r="V209">
        <f>VLOOKUP(B209,'Small Pricelist'!A:L,11,0)</f>
        <v>32.628249817211056</v>
      </c>
      <c r="W209" s="1" t="s">
        <v>14</v>
      </c>
      <c r="X209">
        <f>VLOOKUP(B209,'Small Pricelist'!A:L,12,0)</f>
        <v>5881.100000000004</v>
      </c>
      <c r="Y209" s="1" t="s">
        <v>12</v>
      </c>
      <c r="Z209" s="25" t="str">
        <f t="shared" si="3"/>
        <v>&lt;tr&gt; &lt;td&gt;7556234&lt;/td&gt;&lt;td&gt;SERVO PRIDE TC 15W-40- 4 X 5L&lt;/td&gt;&lt;td&gt;1950&lt;/td&gt;&lt;td&gt;1588.275&lt;/td&gt;&lt;td&gt;20&lt;/td&gt;&lt;td&gt;0&lt;/td&gt;&lt;td&gt;0&lt;/td&gt;&lt;td&gt;1470.275&lt;/td&gt;&lt;td&gt;479.725&lt;/td&gt;&lt;td&gt;95.945&lt;/td&gt;&lt;td&gt;32.6282498172111&lt;/td&gt;&lt;td&gt;5881.1&lt;/td&gt;&lt;/tr&gt;</v>
      </c>
    </row>
    <row r="210" spans="1:26" x14ac:dyDescent="0.3">
      <c r="A210" s="1" t="s">
        <v>13</v>
      </c>
      <c r="B210">
        <f>'Small Pricelist'!A209</f>
        <v>7556241</v>
      </c>
      <c r="C210" s="1" t="s">
        <v>14</v>
      </c>
      <c r="D210" t="str">
        <f>VLOOKUP(B210,'Small Pricelist'!A:L,2,0)</f>
        <v>SERVO PRIDE TC 15W40-10L PROMO</v>
      </c>
      <c r="E210" s="1" t="s">
        <v>14</v>
      </c>
      <c r="F210">
        <f>VLOOKUP(B210,'Small Pricelist'!A:L,3,0)</f>
        <v>3850</v>
      </c>
      <c r="G210" s="1" t="s">
        <v>14</v>
      </c>
      <c r="H210">
        <f>VLOOKUP(B210,'Small Pricelist'!A:L,4,0)</f>
        <v>3145.0650000000001</v>
      </c>
      <c r="I210" s="1" t="s">
        <v>14</v>
      </c>
      <c r="J210">
        <f>VLOOKUP(B210,'Small Pricelist'!A:L,5,0)</f>
        <v>30</v>
      </c>
      <c r="K210" s="1" t="s">
        <v>14</v>
      </c>
      <c r="L210">
        <f>VLOOKUP(B210,'Small Pricelist'!A:L,6,0)</f>
        <v>0</v>
      </c>
      <c r="M210" s="1" t="s">
        <v>14</v>
      </c>
      <c r="N210">
        <f>VLOOKUP(B210,'Small Pricelist'!A:L,7,0)</f>
        <v>0</v>
      </c>
      <c r="O210" s="1" t="s">
        <v>14</v>
      </c>
      <c r="P210">
        <f>VLOOKUP(B210,'Small Pricelist'!A:L,8,0)</f>
        <v>2791.0650000000001</v>
      </c>
      <c r="Q210" s="1" t="s">
        <v>14</v>
      </c>
      <c r="R210">
        <f>VLOOKUP(B210,'Small Pricelist'!A:L,9,0)</f>
        <v>1058.9349999999999</v>
      </c>
      <c r="S210" s="1" t="s">
        <v>14</v>
      </c>
      <c r="T210">
        <f>VLOOKUP(B210,'Small Pricelist'!A:L,10,0)</f>
        <v>105.89350000000002</v>
      </c>
      <c r="U210" s="1" t="s">
        <v>14</v>
      </c>
      <c r="V210">
        <f>VLOOKUP(B210,'Small Pricelist'!A:L,11,0)</f>
        <v>37.940176957541297</v>
      </c>
      <c r="W210" s="1" t="s">
        <v>14</v>
      </c>
      <c r="X210">
        <f>VLOOKUP(B210,'Small Pricelist'!A:L,12,0)</f>
        <v>2791.0650000000001</v>
      </c>
      <c r="Y210" s="1" t="s">
        <v>12</v>
      </c>
      <c r="Z210" s="25" t="str">
        <f t="shared" si="3"/>
        <v>&lt;tr&gt; &lt;td&gt;7556241&lt;/td&gt;&lt;td&gt;SERVO PRIDE TC 15W40-10L PROMO&lt;/td&gt;&lt;td&gt;3850&lt;/td&gt;&lt;td&gt;3145.065&lt;/td&gt;&lt;td&gt;30&lt;/td&gt;&lt;td&gt;0&lt;/td&gt;&lt;td&gt;0&lt;/td&gt;&lt;td&gt;2791.065&lt;/td&gt;&lt;td&gt;1058.935&lt;/td&gt;&lt;td&gt;105.8935&lt;/td&gt;&lt;td&gt;37.9401769575413&lt;/td&gt;&lt;td&gt;2791.065&lt;/td&gt;&lt;/tr&gt;</v>
      </c>
    </row>
    <row r="211" spans="1:26" x14ac:dyDescent="0.3">
      <c r="A211" s="1" t="s">
        <v>13</v>
      </c>
      <c r="B211">
        <f>'Small Pricelist'!A210</f>
        <v>7556242</v>
      </c>
      <c r="C211" s="1" t="s">
        <v>14</v>
      </c>
      <c r="D211" t="str">
        <f>VLOOKUP(B211,'Small Pricelist'!A:L,2,0)</f>
        <v>SERVO PRIDE TC 15W-40 - 10 L BUC</v>
      </c>
      <c r="E211" s="1" t="s">
        <v>14</v>
      </c>
      <c r="F211">
        <f>VLOOKUP(B211,'Small Pricelist'!A:L,3,0)</f>
        <v>3850</v>
      </c>
      <c r="G211" s="1" t="s">
        <v>14</v>
      </c>
      <c r="H211">
        <f>VLOOKUP(B211,'Small Pricelist'!A:L,4,0)</f>
        <v>3145.0650000000001</v>
      </c>
      <c r="I211" s="1" t="s">
        <v>14</v>
      </c>
      <c r="J211">
        <f>VLOOKUP(B211,'Small Pricelist'!A:L,5,0)</f>
        <v>40</v>
      </c>
      <c r="K211" s="1" t="s">
        <v>14</v>
      </c>
      <c r="L211">
        <f>VLOOKUP(B211,'Small Pricelist'!A:L,6,0)</f>
        <v>0</v>
      </c>
      <c r="M211" s="1" t="s">
        <v>14</v>
      </c>
      <c r="N211">
        <f>VLOOKUP(B211,'Small Pricelist'!A:L,7,0)</f>
        <v>0</v>
      </c>
      <c r="O211" s="1" t="s">
        <v>14</v>
      </c>
      <c r="P211">
        <f>VLOOKUP(B211,'Small Pricelist'!A:L,8,0)</f>
        <v>2673.0650000000001</v>
      </c>
      <c r="Q211" s="1" t="s">
        <v>14</v>
      </c>
      <c r="R211">
        <f>VLOOKUP(B211,'Small Pricelist'!A:L,9,0)</f>
        <v>1176.9349999999999</v>
      </c>
      <c r="S211" s="1" t="s">
        <v>14</v>
      </c>
      <c r="T211">
        <f>VLOOKUP(B211,'Small Pricelist'!A:L,10,0)</f>
        <v>117.69349999999997</v>
      </c>
      <c r="U211" s="1" t="s">
        <v>14</v>
      </c>
      <c r="V211">
        <f>VLOOKUP(B211,'Small Pricelist'!A:L,11,0)</f>
        <v>44.029419411798813</v>
      </c>
      <c r="W211" s="1" t="s">
        <v>14</v>
      </c>
      <c r="X211">
        <f>VLOOKUP(B211,'Small Pricelist'!A:L,12,0)</f>
        <v>2673.0650000000014</v>
      </c>
      <c r="Y211" s="1" t="s">
        <v>12</v>
      </c>
      <c r="Z211" s="25" t="str">
        <f t="shared" si="3"/>
        <v>&lt;tr&gt; &lt;td&gt;7556242&lt;/td&gt;&lt;td&gt;SERVO PRIDE TC 15W-40 - 10 L BUC&lt;/td&gt;&lt;td&gt;3850&lt;/td&gt;&lt;td&gt;3145.065&lt;/td&gt;&lt;td&gt;40&lt;/td&gt;&lt;td&gt;0&lt;/td&gt;&lt;td&gt;0&lt;/td&gt;&lt;td&gt;2673.065&lt;/td&gt;&lt;td&gt;1176.935&lt;/td&gt;&lt;td&gt;117.6935&lt;/td&gt;&lt;td&gt;44.0294194117988&lt;/td&gt;&lt;td&gt;2673.065&lt;/td&gt;&lt;/tr&gt;</v>
      </c>
    </row>
    <row r="212" spans="1:26" x14ac:dyDescent="0.3">
      <c r="A212" s="1" t="s">
        <v>13</v>
      </c>
      <c r="B212">
        <f>'Small Pricelist'!A211</f>
        <v>7556250</v>
      </c>
      <c r="C212" s="1" t="s">
        <v>14</v>
      </c>
      <c r="D212" t="str">
        <f>VLOOKUP(B212,'Small Pricelist'!A:L,2,0)</f>
        <v>SERVO PRIDE TC 15W40-7.5L PROMO</v>
      </c>
      <c r="E212" s="1" t="s">
        <v>14</v>
      </c>
      <c r="F212">
        <f>VLOOKUP(B212,'Small Pricelist'!A:L,3,0)</f>
        <v>2901</v>
      </c>
      <c r="G212" s="1" t="s">
        <v>14</v>
      </c>
      <c r="H212">
        <f>VLOOKUP(B212,'Small Pricelist'!A:L,4,0)</f>
        <v>2371.5675000000001</v>
      </c>
      <c r="I212" s="1" t="s">
        <v>14</v>
      </c>
      <c r="J212">
        <f>VLOOKUP(B212,'Small Pricelist'!A:L,5,0)</f>
        <v>35</v>
      </c>
      <c r="K212" s="1" t="s">
        <v>14</v>
      </c>
      <c r="L212">
        <f>VLOOKUP(B212,'Small Pricelist'!A:L,6,0)</f>
        <v>0</v>
      </c>
      <c r="M212" s="1" t="s">
        <v>14</v>
      </c>
      <c r="N212">
        <f>VLOOKUP(B212,'Small Pricelist'!A:L,7,0)</f>
        <v>0</v>
      </c>
      <c r="O212" s="1" t="s">
        <v>14</v>
      </c>
      <c r="P212">
        <f>VLOOKUP(B212,'Small Pricelist'!A:L,8,0)</f>
        <v>2061.8175000000001</v>
      </c>
      <c r="Q212" s="1" t="s">
        <v>14</v>
      </c>
      <c r="R212">
        <f>VLOOKUP(B212,'Small Pricelist'!A:L,9,0)</f>
        <v>839.18249999999989</v>
      </c>
      <c r="S212" s="1" t="s">
        <v>14</v>
      </c>
      <c r="T212">
        <f>VLOOKUP(B212,'Small Pricelist'!A:L,10,0)</f>
        <v>111.89100000000002</v>
      </c>
      <c r="U212" s="1" t="s">
        <v>14</v>
      </c>
      <c r="V212">
        <f>VLOOKUP(B212,'Small Pricelist'!A:L,11,0)</f>
        <v>40.70110472920129</v>
      </c>
      <c r="W212" s="1" t="s">
        <v>14</v>
      </c>
      <c r="X212">
        <f>VLOOKUP(B212,'Small Pricelist'!A:L,12,0)</f>
        <v>2061.8175000000001</v>
      </c>
      <c r="Y212" s="1" t="s">
        <v>12</v>
      </c>
      <c r="Z212" s="25" t="str">
        <f t="shared" si="3"/>
        <v>&lt;tr&gt; &lt;td&gt;7556250&lt;/td&gt;&lt;td&gt;SERVO PRIDE TC 15W40-7.5L PROMO&lt;/td&gt;&lt;td&gt;2901&lt;/td&gt;&lt;td&gt;2371.5675&lt;/td&gt;&lt;td&gt;35&lt;/td&gt;&lt;td&gt;0&lt;/td&gt;&lt;td&gt;0&lt;/td&gt;&lt;td&gt;2061.8175&lt;/td&gt;&lt;td&gt;839.1825&lt;/td&gt;&lt;td&gt;111.891&lt;/td&gt;&lt;td&gt;40.7011047292013&lt;/td&gt;&lt;td&gt;2061.8175&lt;/td&gt;&lt;/tr&gt;</v>
      </c>
    </row>
    <row r="213" spans="1:26" x14ac:dyDescent="0.3">
      <c r="A213" s="1" t="s">
        <v>13</v>
      </c>
      <c r="B213">
        <f>'Small Pricelist'!A212</f>
        <v>7556251</v>
      </c>
      <c r="C213" s="1" t="s">
        <v>14</v>
      </c>
      <c r="D213" t="str">
        <f>VLOOKUP(B213,'Small Pricelist'!A:L,2,0)</f>
        <v>SERVO PRIDE TC 15W40 - 7.5L BUC</v>
      </c>
      <c r="E213" s="1" t="s">
        <v>14</v>
      </c>
      <c r="F213">
        <f>VLOOKUP(B213,'Small Pricelist'!A:L,3,0)</f>
        <v>2901</v>
      </c>
      <c r="G213" s="1" t="s">
        <v>14</v>
      </c>
      <c r="H213">
        <f>VLOOKUP(B213,'Small Pricelist'!A:L,4,0)</f>
        <v>2371.5675000000001</v>
      </c>
      <c r="I213" s="1" t="s">
        <v>14</v>
      </c>
      <c r="J213">
        <f>VLOOKUP(B213,'Small Pricelist'!A:L,5,0)</f>
        <v>45</v>
      </c>
      <c r="K213" s="1" t="s">
        <v>14</v>
      </c>
      <c r="L213">
        <f>VLOOKUP(B213,'Small Pricelist'!A:L,6,0)</f>
        <v>0</v>
      </c>
      <c r="M213" s="1" t="s">
        <v>14</v>
      </c>
      <c r="N213">
        <f>VLOOKUP(B213,'Small Pricelist'!A:L,7,0)</f>
        <v>0</v>
      </c>
      <c r="O213" s="1" t="s">
        <v>14</v>
      </c>
      <c r="P213">
        <f>VLOOKUP(B213,'Small Pricelist'!A:L,8,0)</f>
        <v>1973.3175000000001</v>
      </c>
      <c r="Q213" s="1" t="s">
        <v>14</v>
      </c>
      <c r="R213">
        <f>VLOOKUP(B213,'Small Pricelist'!A:L,9,0)</f>
        <v>927.68249999999989</v>
      </c>
      <c r="S213" s="1" t="s">
        <v>14</v>
      </c>
      <c r="T213">
        <f>VLOOKUP(B213,'Small Pricelist'!A:L,10,0)</f>
        <v>123.69099999999997</v>
      </c>
      <c r="U213" s="1" t="s">
        <v>14</v>
      </c>
      <c r="V213">
        <f>VLOOKUP(B213,'Small Pricelist'!A:L,11,0)</f>
        <v>47.011314702271676</v>
      </c>
      <c r="W213" s="1" t="s">
        <v>14</v>
      </c>
      <c r="X213">
        <f>VLOOKUP(B213,'Small Pricelist'!A:L,12,0)</f>
        <v>1973.3175000000015</v>
      </c>
      <c r="Y213" s="1" t="s">
        <v>12</v>
      </c>
      <c r="Z213" s="25" t="str">
        <f t="shared" si="3"/>
        <v>&lt;tr&gt; &lt;td&gt;7556251&lt;/td&gt;&lt;td&gt;SERVO PRIDE TC 15W40 - 7.5L BUC&lt;/td&gt;&lt;td&gt;2901&lt;/td&gt;&lt;td&gt;2371.5675&lt;/td&gt;&lt;td&gt;45&lt;/td&gt;&lt;td&gt;0&lt;/td&gt;&lt;td&gt;0&lt;/td&gt;&lt;td&gt;1973.3175&lt;/td&gt;&lt;td&gt;927.6825&lt;/td&gt;&lt;td&gt;123.691&lt;/td&gt;&lt;td&gt;47.0113147022717&lt;/td&gt;&lt;td&gt;1973.3175&lt;/td&gt;&lt;/tr&gt;</v>
      </c>
    </row>
    <row r="214" spans="1:26" x14ac:dyDescent="0.3">
      <c r="A214" s="1" t="s">
        <v>13</v>
      </c>
      <c r="B214">
        <f>'Small Pricelist'!A213</f>
        <v>7556253</v>
      </c>
      <c r="C214" s="1" t="s">
        <v>14</v>
      </c>
      <c r="D214" t="str">
        <f>VLOOKUP(B214,'Small Pricelist'!A:L,2,0)</f>
        <v>SERVO PRIDE TC 15W40-15L PROMO</v>
      </c>
      <c r="E214" s="1" t="s">
        <v>14</v>
      </c>
      <c r="F214">
        <f>VLOOKUP(B214,'Small Pricelist'!A:L,3,0)</f>
        <v>5700</v>
      </c>
      <c r="G214" s="1" t="s">
        <v>14</v>
      </c>
      <c r="H214">
        <f>VLOOKUP(B214,'Small Pricelist'!A:L,4,0)</f>
        <v>4703.6400000000003</v>
      </c>
      <c r="I214" s="1" t="s">
        <v>14</v>
      </c>
      <c r="J214">
        <f>VLOOKUP(B214,'Small Pricelist'!A:L,5,0)</f>
        <v>35</v>
      </c>
      <c r="K214" s="1" t="s">
        <v>14</v>
      </c>
      <c r="L214">
        <f>VLOOKUP(B214,'Small Pricelist'!A:L,6,0)</f>
        <v>0</v>
      </c>
      <c r="M214" s="1" t="s">
        <v>14</v>
      </c>
      <c r="N214">
        <f>VLOOKUP(B214,'Small Pricelist'!A:L,7,0)</f>
        <v>0</v>
      </c>
      <c r="O214" s="1" t="s">
        <v>14</v>
      </c>
      <c r="P214">
        <f>VLOOKUP(B214,'Small Pricelist'!A:L,8,0)</f>
        <v>4084.1400000000003</v>
      </c>
      <c r="Q214" s="1" t="s">
        <v>14</v>
      </c>
      <c r="R214">
        <f>VLOOKUP(B214,'Small Pricelist'!A:L,9,0)</f>
        <v>1615.8599999999997</v>
      </c>
      <c r="S214" s="1" t="s">
        <v>14</v>
      </c>
      <c r="T214">
        <f>VLOOKUP(B214,'Small Pricelist'!A:L,10,0)</f>
        <v>107.72399999999999</v>
      </c>
      <c r="U214" s="1" t="s">
        <v>14</v>
      </c>
      <c r="V214">
        <f>VLOOKUP(B214,'Small Pricelist'!A:L,11,0)</f>
        <v>39.564265671597923</v>
      </c>
      <c r="W214" s="1" t="s">
        <v>14</v>
      </c>
      <c r="X214">
        <f>VLOOKUP(B214,'Small Pricelist'!A:L,12,0)</f>
        <v>4084.1400000000003</v>
      </c>
      <c r="Y214" s="1" t="s">
        <v>12</v>
      </c>
      <c r="Z214" s="25" t="str">
        <f t="shared" si="3"/>
        <v>&lt;tr&gt; &lt;td&gt;7556253&lt;/td&gt;&lt;td&gt;SERVO PRIDE TC 15W40-15L PROMO&lt;/td&gt;&lt;td&gt;5700&lt;/td&gt;&lt;td&gt;4703.64&lt;/td&gt;&lt;td&gt;35&lt;/td&gt;&lt;td&gt;0&lt;/td&gt;&lt;td&gt;0&lt;/td&gt;&lt;td&gt;4084.14&lt;/td&gt;&lt;td&gt;1615.86&lt;/td&gt;&lt;td&gt;107.724&lt;/td&gt;&lt;td&gt;39.5642656715979&lt;/td&gt;&lt;td&gt;4084.14&lt;/td&gt;&lt;/tr&gt;</v>
      </c>
    </row>
    <row r="215" spans="1:26" x14ac:dyDescent="0.3">
      <c r="A215" s="1" t="s">
        <v>13</v>
      </c>
      <c r="B215">
        <f>'Small Pricelist'!A214</f>
        <v>7556265</v>
      </c>
      <c r="C215" s="1" t="s">
        <v>14</v>
      </c>
      <c r="D215" t="str">
        <f>VLOOKUP(B215,'Small Pricelist'!A:L,2,0)</f>
        <v>SERVO PRIDE TC 15W40 - 20L BUC</v>
      </c>
      <c r="E215" s="1" t="s">
        <v>14</v>
      </c>
      <c r="F215">
        <f>VLOOKUP(B215,'Small Pricelist'!A:L,3,0)</f>
        <v>7600</v>
      </c>
      <c r="G215" s="1" t="s">
        <v>14</v>
      </c>
      <c r="H215">
        <f>VLOOKUP(B215,'Small Pricelist'!A:L,4,0)</f>
        <v>6260.12</v>
      </c>
      <c r="I215" s="1" t="s">
        <v>14</v>
      </c>
      <c r="J215">
        <f>VLOOKUP(B215,'Small Pricelist'!A:L,5,0)</f>
        <v>40</v>
      </c>
      <c r="K215" s="1" t="s">
        <v>14</v>
      </c>
      <c r="L215">
        <f>VLOOKUP(B215,'Small Pricelist'!A:L,6,0)</f>
        <v>0</v>
      </c>
      <c r="M215" s="1" t="s">
        <v>14</v>
      </c>
      <c r="N215">
        <f>VLOOKUP(B215,'Small Pricelist'!A:L,7,0)</f>
        <v>0</v>
      </c>
      <c r="O215" s="1" t="s">
        <v>14</v>
      </c>
      <c r="P215">
        <f>VLOOKUP(B215,'Small Pricelist'!A:L,8,0)</f>
        <v>5316.12</v>
      </c>
      <c r="Q215" s="1" t="s">
        <v>14</v>
      </c>
      <c r="R215">
        <f>VLOOKUP(B215,'Small Pricelist'!A:L,9,0)</f>
        <v>2283.88</v>
      </c>
      <c r="S215" s="1" t="s">
        <v>14</v>
      </c>
      <c r="T215">
        <f>VLOOKUP(B215,'Small Pricelist'!A:L,10,0)</f>
        <v>114.19400000000002</v>
      </c>
      <c r="U215" s="1" t="s">
        <v>14</v>
      </c>
      <c r="V215">
        <f>VLOOKUP(B215,'Small Pricelist'!A:L,11,0)</f>
        <v>42.961407944139715</v>
      </c>
      <c r="W215" s="1" t="s">
        <v>14</v>
      </c>
      <c r="X215">
        <f>VLOOKUP(B215,'Small Pricelist'!A:L,12,0)</f>
        <v>5316.1200000000035</v>
      </c>
      <c r="Y215" s="1" t="s">
        <v>12</v>
      </c>
      <c r="Z215" s="25" t="str">
        <f t="shared" si="3"/>
        <v>&lt;tr&gt; &lt;td&gt;7556265&lt;/td&gt;&lt;td&gt;SERVO PRIDE TC 15W40 - 20L BUC&lt;/td&gt;&lt;td&gt;7600&lt;/td&gt;&lt;td&gt;6260.12&lt;/td&gt;&lt;td&gt;40&lt;/td&gt;&lt;td&gt;0&lt;/td&gt;&lt;td&gt;0&lt;/td&gt;&lt;td&gt;5316.12&lt;/td&gt;&lt;td&gt;2283.88&lt;/td&gt;&lt;td&gt;114.194&lt;/td&gt;&lt;td&gt;42.9614079441397&lt;/td&gt;&lt;td&gt;5316.12&lt;/td&gt;&lt;/tr&gt;</v>
      </c>
    </row>
    <row r="216" spans="1:26" x14ac:dyDescent="0.3">
      <c r="A216" s="1" t="s">
        <v>13</v>
      </c>
      <c r="B216">
        <f>'Small Pricelist'!A215</f>
        <v>7563250</v>
      </c>
      <c r="C216" s="1" t="s">
        <v>14</v>
      </c>
      <c r="D216" t="str">
        <f>VLOOKUP(B216,'Small Pricelist'!A:L,2,0)</f>
        <v>SERVO TRACTOR OIL MG 20W-40-7.5L PROMO</v>
      </c>
      <c r="E216" s="1" t="s">
        <v>14</v>
      </c>
      <c r="F216">
        <f>VLOOKUP(B216,'Small Pricelist'!A:L,3,0)</f>
        <v>2751</v>
      </c>
      <c r="G216" s="1" t="s">
        <v>14</v>
      </c>
      <c r="H216">
        <f>VLOOKUP(B216,'Small Pricelist'!A:L,4,0)</f>
        <v>2232.4365000000003</v>
      </c>
      <c r="I216" s="1" t="s">
        <v>14</v>
      </c>
      <c r="J216">
        <f>VLOOKUP(B216,'Small Pricelist'!A:L,5,0)</f>
        <v>29</v>
      </c>
      <c r="K216" s="1" t="s">
        <v>14</v>
      </c>
      <c r="L216">
        <f>VLOOKUP(B216,'Small Pricelist'!A:L,6,0)</f>
        <v>0</v>
      </c>
      <c r="M216" s="1" t="s">
        <v>14</v>
      </c>
      <c r="N216">
        <f>VLOOKUP(B216,'Small Pricelist'!A:L,7,0)</f>
        <v>0</v>
      </c>
      <c r="O216" s="1" t="s">
        <v>14</v>
      </c>
      <c r="P216">
        <f>VLOOKUP(B216,'Small Pricelist'!A:L,8,0)</f>
        <v>1975.7865000000004</v>
      </c>
      <c r="Q216" s="1" t="s">
        <v>14</v>
      </c>
      <c r="R216">
        <f>VLOOKUP(B216,'Small Pricelist'!A:L,9,0)</f>
        <v>775.21349999999961</v>
      </c>
      <c r="S216" s="1" t="s">
        <v>14</v>
      </c>
      <c r="T216">
        <f>VLOOKUP(B216,'Small Pricelist'!A:L,10,0)</f>
        <v>103.36179999999996</v>
      </c>
      <c r="U216" s="1" t="s">
        <v>14</v>
      </c>
      <c r="V216">
        <f>VLOOKUP(B216,'Small Pricelist'!A:L,11,0)</f>
        <v>39.235691710617495</v>
      </c>
      <c r="W216" s="1" t="s">
        <v>14</v>
      </c>
      <c r="X216">
        <f>VLOOKUP(B216,'Small Pricelist'!A:L,12,0)</f>
        <v>1975.7865000000004</v>
      </c>
      <c r="Y216" s="1" t="s">
        <v>12</v>
      </c>
      <c r="Z216" s="25" t="str">
        <f t="shared" si="3"/>
        <v>&lt;tr&gt; &lt;td&gt;7563250&lt;/td&gt;&lt;td&gt;SERVO TRACTOR OIL MG 20W-40-7.5L PROMO&lt;/td&gt;&lt;td&gt;2751&lt;/td&gt;&lt;td&gt;2232.4365&lt;/td&gt;&lt;td&gt;29&lt;/td&gt;&lt;td&gt;0&lt;/td&gt;&lt;td&gt;0&lt;/td&gt;&lt;td&gt;1975.7865&lt;/td&gt;&lt;td&gt;775.2135&lt;/td&gt;&lt;td&gt;103.3618&lt;/td&gt;&lt;td&gt;39.2356917106175&lt;/td&gt;&lt;td&gt;1975.7865&lt;/td&gt;&lt;/tr&gt;</v>
      </c>
    </row>
    <row r="217" spans="1:26" x14ac:dyDescent="0.3">
      <c r="A217" s="1" t="s">
        <v>13</v>
      </c>
      <c r="B217">
        <f>'Small Pricelist'!A216</f>
        <v>7577174</v>
      </c>
      <c r="C217" s="1" t="s">
        <v>14</v>
      </c>
      <c r="D217" t="str">
        <f>VLOOKUP(B217,'Small Pricelist'!A:L,2,0)</f>
        <v>SERVO PREMIUM CF-4 15W-40-40X1/2L-HDPE</v>
      </c>
      <c r="E217" s="1" t="s">
        <v>14</v>
      </c>
      <c r="F217">
        <f>VLOOKUP(B217,'Small Pricelist'!A:L,3,0)</f>
        <v>206</v>
      </c>
      <c r="G217" s="1" t="s">
        <v>14</v>
      </c>
      <c r="H217">
        <f>VLOOKUP(B217,'Small Pricelist'!A:L,4,0)</f>
        <v>162.82240000000002</v>
      </c>
      <c r="I217" s="1" t="s">
        <v>14</v>
      </c>
      <c r="J217">
        <f>VLOOKUP(B217,'Small Pricelist'!A:L,5,0)</f>
        <v>5</v>
      </c>
      <c r="K217" s="1" t="s">
        <v>14</v>
      </c>
      <c r="L217">
        <f>VLOOKUP(B217,'Small Pricelist'!A:L,6,0)</f>
        <v>0</v>
      </c>
      <c r="M217" s="1" t="s">
        <v>14</v>
      </c>
      <c r="N217">
        <f>VLOOKUP(B217,'Small Pricelist'!A:L,7,0)</f>
        <v>0</v>
      </c>
      <c r="O217" s="1" t="s">
        <v>14</v>
      </c>
      <c r="P217">
        <f>VLOOKUP(B217,'Small Pricelist'!A:L,8,0)</f>
        <v>159.8724</v>
      </c>
      <c r="Q217" s="1" t="s">
        <v>14</v>
      </c>
      <c r="R217">
        <f>VLOOKUP(B217,'Small Pricelist'!A:L,9,0)</f>
        <v>46.127600000000001</v>
      </c>
      <c r="S217" s="1" t="s">
        <v>14</v>
      </c>
      <c r="T217">
        <f>VLOOKUP(B217,'Small Pricelist'!A:L,10,0)</f>
        <v>92.255200000000002</v>
      </c>
      <c r="U217" s="1" t="s">
        <v>14</v>
      </c>
      <c r="V217">
        <f>VLOOKUP(B217,'Small Pricelist'!A:L,11,0)</f>
        <v>28.852760076160738</v>
      </c>
      <c r="W217" s="1" t="s">
        <v>14</v>
      </c>
      <c r="X217">
        <f>VLOOKUP(B217,'Small Pricelist'!A:L,12,0)</f>
        <v>6394.8960000000034</v>
      </c>
      <c r="Y217" s="1" t="s">
        <v>12</v>
      </c>
      <c r="Z217" s="25" t="str">
        <f t="shared" si="3"/>
        <v>&lt;tr&gt; &lt;td&gt;7577174&lt;/td&gt;&lt;td&gt;SERVO PREMIUM CF-4 15W-40-40X1/2L-HDPE&lt;/td&gt;&lt;td&gt;206&lt;/td&gt;&lt;td&gt;162.8224&lt;/td&gt;&lt;td&gt;5&lt;/td&gt;&lt;td&gt;0&lt;/td&gt;&lt;td&gt;0&lt;/td&gt;&lt;td&gt;159.8724&lt;/td&gt;&lt;td&gt;46.1276&lt;/td&gt;&lt;td&gt;92.2552&lt;/td&gt;&lt;td&gt;28.8527600761607&lt;/td&gt;&lt;td&gt;6394.896&lt;/td&gt;&lt;/tr&gt;</v>
      </c>
    </row>
    <row r="218" spans="1:26" x14ac:dyDescent="0.3">
      <c r="A218" s="1" t="s">
        <v>13</v>
      </c>
      <c r="B218">
        <f>'Small Pricelist'!A217</f>
        <v>7577184</v>
      </c>
      <c r="C218" s="1" t="s">
        <v>14</v>
      </c>
      <c r="D218" t="str">
        <f>VLOOKUP(B218,'Small Pricelist'!A:L,2,0)</f>
        <v>SERVO PREMIUM CF-4 15W-40-20X1L-HDPE</v>
      </c>
      <c r="E218" s="1" t="s">
        <v>14</v>
      </c>
      <c r="F218">
        <f>VLOOKUP(B218,'Small Pricelist'!A:L,3,0)</f>
        <v>390</v>
      </c>
      <c r="G218" s="1" t="s">
        <v>14</v>
      </c>
      <c r="H218">
        <f>VLOOKUP(B218,'Small Pricelist'!A:L,4,0)</f>
        <v>317.34300000000002</v>
      </c>
      <c r="I218" s="1" t="s">
        <v>14</v>
      </c>
      <c r="J218">
        <f>VLOOKUP(B218,'Small Pricelist'!A:L,5,0)</f>
        <v>5</v>
      </c>
      <c r="K218" s="1" t="s">
        <v>14</v>
      </c>
      <c r="L218">
        <f>VLOOKUP(B218,'Small Pricelist'!A:L,6,0)</f>
        <v>0</v>
      </c>
      <c r="M218" s="1" t="s">
        <v>14</v>
      </c>
      <c r="N218">
        <f>VLOOKUP(B218,'Small Pricelist'!A:L,7,0)</f>
        <v>0</v>
      </c>
      <c r="O218" s="1" t="s">
        <v>14</v>
      </c>
      <c r="P218">
        <f>VLOOKUP(B218,'Small Pricelist'!A:L,8,0)</f>
        <v>311.44299999999998</v>
      </c>
      <c r="Q218" s="1" t="s">
        <v>14</v>
      </c>
      <c r="R218">
        <f>VLOOKUP(B218,'Small Pricelist'!A:L,9,0)</f>
        <v>78.557000000000016</v>
      </c>
      <c r="S218" s="1" t="s">
        <v>14</v>
      </c>
      <c r="T218">
        <f>VLOOKUP(B218,'Small Pricelist'!A:L,10,0)</f>
        <v>78.557000000000016</v>
      </c>
      <c r="U218" s="1" t="s">
        <v>14</v>
      </c>
      <c r="V218">
        <f>VLOOKUP(B218,'Small Pricelist'!A:L,11,0)</f>
        <v>25.223556156343225</v>
      </c>
      <c r="W218" s="1" t="s">
        <v>14</v>
      </c>
      <c r="X218">
        <f>VLOOKUP(B218,'Small Pricelist'!A:L,12,0)</f>
        <v>6228.8600000000042</v>
      </c>
      <c r="Y218" s="1" t="s">
        <v>12</v>
      </c>
      <c r="Z218" s="25" t="str">
        <f t="shared" si="3"/>
        <v>&lt;tr&gt; &lt;td&gt;7577184&lt;/td&gt;&lt;td&gt;SERVO PREMIUM CF-4 15W-40-20X1L-HDPE&lt;/td&gt;&lt;td&gt;390&lt;/td&gt;&lt;td&gt;317.343&lt;/td&gt;&lt;td&gt;5&lt;/td&gt;&lt;td&gt;0&lt;/td&gt;&lt;td&gt;0&lt;/td&gt;&lt;td&gt;311.443&lt;/td&gt;&lt;td&gt;78.557&lt;/td&gt;&lt;td&gt;78.557&lt;/td&gt;&lt;td&gt;25.2235561563432&lt;/td&gt;&lt;td&gt;6228.86&lt;/td&gt;&lt;/tr&gt;</v>
      </c>
    </row>
    <row r="219" spans="1:26" x14ac:dyDescent="0.3">
      <c r="A219" s="1" t="s">
        <v>13</v>
      </c>
      <c r="B219">
        <f>'Small Pricelist'!A218</f>
        <v>7577203</v>
      </c>
      <c r="C219" s="1" t="s">
        <v>14</v>
      </c>
      <c r="D219" t="str">
        <f>VLOOKUP(B219,'Small Pricelist'!A:L,2,0)</f>
        <v>SERVO PREMIUM CF-4 15W-40-4X3L-HDPE</v>
      </c>
      <c r="E219" s="1" t="s">
        <v>14</v>
      </c>
      <c r="F219">
        <f>VLOOKUP(B219,'Small Pricelist'!A:L,3,0)</f>
        <v>1160</v>
      </c>
      <c r="G219" s="1" t="s">
        <v>14</v>
      </c>
      <c r="H219">
        <f>VLOOKUP(B219,'Small Pricelist'!A:L,4,0)</f>
        <v>941.22399999999993</v>
      </c>
      <c r="I219" s="1" t="s">
        <v>14</v>
      </c>
      <c r="J219">
        <f>VLOOKUP(B219,'Small Pricelist'!A:L,5,0)</f>
        <v>15</v>
      </c>
      <c r="K219" s="1" t="s">
        <v>14</v>
      </c>
      <c r="L219">
        <f>VLOOKUP(B219,'Small Pricelist'!A:L,6,0)</f>
        <v>0</v>
      </c>
      <c r="M219" s="1" t="s">
        <v>14</v>
      </c>
      <c r="N219">
        <f>VLOOKUP(B219,'Small Pricelist'!A:L,7,0)</f>
        <v>0</v>
      </c>
      <c r="O219" s="1" t="s">
        <v>14</v>
      </c>
      <c r="P219">
        <f>VLOOKUP(B219,'Small Pricelist'!A:L,8,0)</f>
        <v>888.12400000000002</v>
      </c>
      <c r="Q219" s="1" t="s">
        <v>14</v>
      </c>
      <c r="R219">
        <f>VLOOKUP(B219,'Small Pricelist'!A:L,9,0)</f>
        <v>271.87599999999998</v>
      </c>
      <c r="S219" s="1" t="s">
        <v>14</v>
      </c>
      <c r="T219">
        <f>VLOOKUP(B219,'Small Pricelist'!A:L,10,0)</f>
        <v>90.625333333333344</v>
      </c>
      <c r="U219" s="1" t="s">
        <v>14</v>
      </c>
      <c r="V219">
        <f>VLOOKUP(B219,'Small Pricelist'!A:L,11,0)</f>
        <v>30.612391963284402</v>
      </c>
      <c r="W219" s="1" t="s">
        <v>14</v>
      </c>
      <c r="X219">
        <f>VLOOKUP(B219,'Small Pricelist'!A:L,12,0)</f>
        <v>3552.4960000000015</v>
      </c>
      <c r="Y219" s="1" t="s">
        <v>12</v>
      </c>
      <c r="Z219" s="25" t="str">
        <f t="shared" si="3"/>
        <v>&lt;tr&gt; &lt;td&gt;7577203&lt;/td&gt;&lt;td&gt;SERVO PREMIUM CF-4 15W-40-4X3L-HDPE&lt;/td&gt;&lt;td&gt;1160&lt;/td&gt;&lt;td&gt;941.224&lt;/td&gt;&lt;td&gt;15&lt;/td&gt;&lt;td&gt;0&lt;/td&gt;&lt;td&gt;0&lt;/td&gt;&lt;td&gt;888.124&lt;/td&gt;&lt;td&gt;271.876&lt;/td&gt;&lt;td&gt;90.6253333333333&lt;/td&gt;&lt;td&gt;30.6123919632844&lt;/td&gt;&lt;td&gt;3552.496&lt;/td&gt;&lt;/tr&gt;</v>
      </c>
    </row>
    <row r="220" spans="1:26" x14ac:dyDescent="0.3">
      <c r="A220" s="1" t="s">
        <v>13</v>
      </c>
      <c r="B220">
        <f>'Small Pricelist'!A219</f>
        <v>7577234</v>
      </c>
      <c r="C220" s="1" t="s">
        <v>14</v>
      </c>
      <c r="D220" t="str">
        <f>VLOOKUP(B220,'Small Pricelist'!A:L,2,0)</f>
        <v>SERVO PREMIUM CF-4 15W-40-4X5L-HDPE</v>
      </c>
      <c r="E220" s="1" t="s">
        <v>14</v>
      </c>
      <c r="F220">
        <f>VLOOKUP(B220,'Small Pricelist'!A:L,3,0)</f>
        <v>1920</v>
      </c>
      <c r="G220" s="1" t="s">
        <v>14</v>
      </c>
      <c r="H220">
        <f>VLOOKUP(B220,'Small Pricelist'!A:L,4,0)</f>
        <v>1568.2560000000001</v>
      </c>
      <c r="I220" s="1" t="s">
        <v>14</v>
      </c>
      <c r="J220">
        <f>VLOOKUP(B220,'Small Pricelist'!A:L,5,0)</f>
        <v>25</v>
      </c>
      <c r="K220" s="1" t="s">
        <v>14</v>
      </c>
      <c r="L220">
        <f>VLOOKUP(B220,'Small Pricelist'!A:L,6,0)</f>
        <v>0</v>
      </c>
      <c r="M220" s="1" t="s">
        <v>14</v>
      </c>
      <c r="N220">
        <f>VLOOKUP(B220,'Small Pricelist'!A:L,7,0)</f>
        <v>0</v>
      </c>
      <c r="O220" s="1" t="s">
        <v>14</v>
      </c>
      <c r="P220">
        <f>VLOOKUP(B220,'Small Pricelist'!A:L,8,0)</f>
        <v>1420.7560000000001</v>
      </c>
      <c r="Q220" s="1" t="s">
        <v>14</v>
      </c>
      <c r="R220">
        <f>VLOOKUP(B220,'Small Pricelist'!A:L,9,0)</f>
        <v>499.24399999999991</v>
      </c>
      <c r="S220" s="1" t="s">
        <v>14</v>
      </c>
      <c r="T220">
        <f>VLOOKUP(B220,'Small Pricelist'!A:L,10,0)</f>
        <v>99.848799999999983</v>
      </c>
      <c r="U220" s="1" t="s">
        <v>14</v>
      </c>
      <c r="V220">
        <f>VLOOKUP(B220,'Small Pricelist'!A:L,11,0)</f>
        <v>35.13932019291137</v>
      </c>
      <c r="W220" s="1" t="s">
        <v>14</v>
      </c>
      <c r="X220">
        <f>VLOOKUP(B220,'Small Pricelist'!A:L,12,0)</f>
        <v>5683.024000000004</v>
      </c>
      <c r="Y220" s="1" t="s">
        <v>12</v>
      </c>
      <c r="Z220" s="25" t="str">
        <f t="shared" si="3"/>
        <v>&lt;tr&gt; &lt;td&gt;7577234&lt;/td&gt;&lt;td&gt;SERVO PREMIUM CF-4 15W-40-4X5L-HDPE&lt;/td&gt;&lt;td&gt;1920&lt;/td&gt;&lt;td&gt;1568.256&lt;/td&gt;&lt;td&gt;25&lt;/td&gt;&lt;td&gt;0&lt;/td&gt;&lt;td&gt;0&lt;/td&gt;&lt;td&gt;1420.756&lt;/td&gt;&lt;td&gt;499.244&lt;/td&gt;&lt;td&gt;99.8488&lt;/td&gt;&lt;td&gt;35.1393201929114&lt;/td&gt;&lt;td&gt;5683.024&lt;/td&gt;&lt;/tr&gt;</v>
      </c>
    </row>
    <row r="221" spans="1:26" x14ac:dyDescent="0.3">
      <c r="A221" s="1" t="s">
        <v>13</v>
      </c>
      <c r="B221">
        <f>'Small Pricelist'!A220</f>
        <v>7577242</v>
      </c>
      <c r="C221" s="1" t="s">
        <v>14</v>
      </c>
      <c r="D221" t="str">
        <f>VLOOKUP(B221,'Small Pricelist'!A:L,2,0)</f>
        <v>SERVO PREMIUM CF-4 15W-40-10L BUC</v>
      </c>
      <c r="E221" s="1" t="s">
        <v>14</v>
      </c>
      <c r="F221">
        <f>VLOOKUP(B221,'Small Pricelist'!A:L,3,0)</f>
        <v>3800</v>
      </c>
      <c r="G221" s="1" t="s">
        <v>14</v>
      </c>
      <c r="H221">
        <f>VLOOKUP(B221,'Small Pricelist'!A:L,4,0)</f>
        <v>3122.46</v>
      </c>
      <c r="I221" s="1" t="s">
        <v>14</v>
      </c>
      <c r="J221">
        <f>VLOOKUP(B221,'Small Pricelist'!A:L,5,0)</f>
        <v>25</v>
      </c>
      <c r="K221" s="1" t="s">
        <v>14</v>
      </c>
      <c r="L221">
        <f>VLOOKUP(B221,'Small Pricelist'!A:L,6,0)</f>
        <v>0</v>
      </c>
      <c r="M221" s="1" t="s">
        <v>14</v>
      </c>
      <c r="N221">
        <f>VLOOKUP(B221,'Small Pricelist'!A:L,7,0)</f>
        <v>0</v>
      </c>
      <c r="O221" s="1" t="s">
        <v>14</v>
      </c>
      <c r="P221">
        <f>VLOOKUP(B221,'Small Pricelist'!A:L,8,0)</f>
        <v>2827.4600000000005</v>
      </c>
      <c r="Q221" s="1" t="s">
        <v>14</v>
      </c>
      <c r="R221">
        <f>VLOOKUP(B221,'Small Pricelist'!A:L,9,0)</f>
        <v>972.53999999999951</v>
      </c>
      <c r="S221" s="1" t="s">
        <v>14</v>
      </c>
      <c r="T221">
        <f>VLOOKUP(B221,'Small Pricelist'!A:L,10,0)</f>
        <v>97.253999999999962</v>
      </c>
      <c r="U221" s="1" t="s">
        <v>14</v>
      </c>
      <c r="V221">
        <f>VLOOKUP(B221,'Small Pricelist'!A:L,11,0)</f>
        <v>34.396242563997347</v>
      </c>
      <c r="W221" s="1" t="s">
        <v>14</v>
      </c>
      <c r="X221">
        <f>VLOOKUP(B221,'Small Pricelist'!A:L,12,0)</f>
        <v>2827.4600000000019</v>
      </c>
      <c r="Y221" s="1" t="s">
        <v>12</v>
      </c>
      <c r="Z221" s="25" t="str">
        <f t="shared" si="3"/>
        <v>&lt;tr&gt; &lt;td&gt;7577242&lt;/td&gt;&lt;td&gt;SERVO PREMIUM CF-4 15W-40-10L BUC&lt;/td&gt;&lt;td&gt;3800&lt;/td&gt;&lt;td&gt;3122.46&lt;/td&gt;&lt;td&gt;25&lt;/td&gt;&lt;td&gt;0&lt;/td&gt;&lt;td&gt;0&lt;/td&gt;&lt;td&gt;2827.46&lt;/td&gt;&lt;td&gt;972.54&lt;/td&gt;&lt;td&gt;97.254&lt;/td&gt;&lt;td&gt;34.3962425639973&lt;/td&gt;&lt;td&gt;2827.46&lt;/td&gt;&lt;/tr&gt;</v>
      </c>
    </row>
    <row r="222" spans="1:26" x14ac:dyDescent="0.3">
      <c r="A222" s="1" t="s">
        <v>13</v>
      </c>
      <c r="B222">
        <f>'Small Pricelist'!A221</f>
        <v>7577251</v>
      </c>
      <c r="C222" s="1" t="s">
        <v>14</v>
      </c>
      <c r="D222" t="str">
        <f>VLOOKUP(B222,'Small Pricelist'!A:L,2,0)</f>
        <v>SERVO PREMIUM CF-4 15W-40-7.5 L</v>
      </c>
      <c r="E222" s="1" t="s">
        <v>14</v>
      </c>
      <c r="F222">
        <f>VLOOKUP(B222,'Small Pricelist'!A:L,3,0)</f>
        <v>2851</v>
      </c>
      <c r="G222" s="1" t="s">
        <v>14</v>
      </c>
      <c r="H222">
        <f>VLOOKUP(B222,'Small Pricelist'!A:L,4,0)</f>
        <v>2341.8114</v>
      </c>
      <c r="I222" s="1" t="s">
        <v>14</v>
      </c>
      <c r="J222">
        <f>VLOOKUP(B222,'Small Pricelist'!A:L,5,0)</f>
        <v>25</v>
      </c>
      <c r="K222" s="1" t="s">
        <v>14</v>
      </c>
      <c r="L222">
        <f>VLOOKUP(B222,'Small Pricelist'!A:L,6,0)</f>
        <v>0</v>
      </c>
      <c r="M222" s="1" t="s">
        <v>14</v>
      </c>
      <c r="N222">
        <f>VLOOKUP(B222,'Small Pricelist'!A:L,7,0)</f>
        <v>0</v>
      </c>
      <c r="O222" s="1" t="s">
        <v>14</v>
      </c>
      <c r="P222">
        <f>VLOOKUP(B222,'Small Pricelist'!A:L,8,0)</f>
        <v>2120.5614</v>
      </c>
      <c r="Q222" s="1" t="s">
        <v>14</v>
      </c>
      <c r="R222">
        <f>VLOOKUP(B222,'Small Pricelist'!A:L,9,0)</f>
        <v>730.43859999999995</v>
      </c>
      <c r="S222" s="1" t="s">
        <v>14</v>
      </c>
      <c r="T222">
        <f>VLOOKUP(B222,'Small Pricelist'!A:L,10,0)</f>
        <v>97.391813333333346</v>
      </c>
      <c r="U222" s="1" t="s">
        <v>14</v>
      </c>
      <c r="V222">
        <f>VLOOKUP(B222,'Small Pricelist'!A:L,11,0)</f>
        <v>34.445529377267739</v>
      </c>
      <c r="W222" s="1" t="s">
        <v>14</v>
      </c>
      <c r="X222">
        <f>VLOOKUP(B222,'Small Pricelist'!A:L,12,0)</f>
        <v>2120.5614000000014</v>
      </c>
      <c r="Y222" s="1" t="s">
        <v>12</v>
      </c>
      <c r="Z222" s="25" t="str">
        <f t="shared" si="3"/>
        <v>&lt;tr&gt; &lt;td&gt;7577251&lt;/td&gt;&lt;td&gt;SERVO PREMIUM CF-4 15W-40-7.5 L&lt;/td&gt;&lt;td&gt;2851&lt;/td&gt;&lt;td&gt;2341.8114&lt;/td&gt;&lt;td&gt;25&lt;/td&gt;&lt;td&gt;0&lt;/td&gt;&lt;td&gt;0&lt;/td&gt;&lt;td&gt;2120.5614&lt;/td&gt;&lt;td&gt;730.4386&lt;/td&gt;&lt;td&gt;97.3918133333333&lt;/td&gt;&lt;td&gt;34.4455293772677&lt;/td&gt;&lt;td&gt;2120.5614&lt;/td&gt;&lt;/tr&gt;</v>
      </c>
    </row>
    <row r="223" spans="1:26" x14ac:dyDescent="0.3">
      <c r="A223" s="1" t="s">
        <v>13</v>
      </c>
      <c r="B223">
        <f>'Small Pricelist'!A222</f>
        <v>7577256</v>
      </c>
      <c r="C223" s="1" t="s">
        <v>14</v>
      </c>
      <c r="D223" t="str">
        <f>VLOOKUP(B223,'Small Pricelist'!A:L,2,0)</f>
        <v>SERVO PREMIUM CF-4 15W-40-15 L</v>
      </c>
      <c r="E223" s="1" t="s">
        <v>14</v>
      </c>
      <c r="F223">
        <f>VLOOKUP(B223,'Small Pricelist'!A:L,3,0)</f>
        <v>5700</v>
      </c>
      <c r="G223" s="1" t="s">
        <v>14</v>
      </c>
      <c r="H223">
        <f>VLOOKUP(B223,'Small Pricelist'!A:L,4,0)</f>
        <v>4675.1400000000003</v>
      </c>
      <c r="I223" s="1" t="s">
        <v>14</v>
      </c>
      <c r="J223">
        <f>VLOOKUP(B223,'Small Pricelist'!A:L,5,0)</f>
        <v>20</v>
      </c>
      <c r="K223" s="1" t="s">
        <v>14</v>
      </c>
      <c r="L223">
        <f>VLOOKUP(B223,'Small Pricelist'!A:L,6,0)</f>
        <v>0</v>
      </c>
      <c r="M223" s="1" t="s">
        <v>14</v>
      </c>
      <c r="N223">
        <f>VLOOKUP(B223,'Small Pricelist'!A:L,7,0)</f>
        <v>0</v>
      </c>
      <c r="O223" s="1" t="s">
        <v>14</v>
      </c>
      <c r="P223">
        <f>VLOOKUP(B223,'Small Pricelist'!A:L,8,0)</f>
        <v>4321.1400000000003</v>
      </c>
      <c r="Q223" s="1" t="s">
        <v>14</v>
      </c>
      <c r="R223">
        <f>VLOOKUP(B223,'Small Pricelist'!A:L,9,0)</f>
        <v>1378.8599999999997</v>
      </c>
      <c r="S223" s="1" t="s">
        <v>14</v>
      </c>
      <c r="T223">
        <f>VLOOKUP(B223,'Small Pricelist'!A:L,10,0)</f>
        <v>91.923999999999978</v>
      </c>
      <c r="U223" s="1" t="s">
        <v>14</v>
      </c>
      <c r="V223">
        <f>VLOOKUP(B223,'Small Pricelist'!A:L,11,0)</f>
        <v>31.909634957441774</v>
      </c>
      <c r="W223" s="1" t="s">
        <v>14</v>
      </c>
      <c r="X223">
        <f>VLOOKUP(B223,'Small Pricelist'!A:L,12,0)</f>
        <v>4321.1400000000031</v>
      </c>
      <c r="Y223" s="1" t="s">
        <v>12</v>
      </c>
      <c r="Z223" s="25" t="str">
        <f t="shared" si="3"/>
        <v>&lt;tr&gt; &lt;td&gt;7577256&lt;/td&gt;&lt;td&gt;SERVO PREMIUM CF-4 15W-40-15 L&lt;/td&gt;&lt;td&gt;5700&lt;/td&gt;&lt;td&gt;4675.14&lt;/td&gt;&lt;td&gt;20&lt;/td&gt;&lt;td&gt;0&lt;/td&gt;&lt;td&gt;0&lt;/td&gt;&lt;td&gt;4321.14&lt;/td&gt;&lt;td&gt;1378.86&lt;/td&gt;&lt;td&gt;91.924&lt;/td&gt;&lt;td&gt;31.9096349574418&lt;/td&gt;&lt;td&gt;4321.14&lt;/td&gt;&lt;/tr&gt;</v>
      </c>
    </row>
    <row r="224" spans="1:26" x14ac:dyDescent="0.3">
      <c r="A224" s="1" t="s">
        <v>13</v>
      </c>
      <c r="B224">
        <f>'Small Pricelist'!A223</f>
        <v>7577265</v>
      </c>
      <c r="C224" s="1" t="s">
        <v>14</v>
      </c>
      <c r="D224" t="str">
        <f>VLOOKUP(B224,'Small Pricelist'!A:L,2,0)</f>
        <v>SERVO PREMIUM CF 4 15W 40-20L BUC</v>
      </c>
      <c r="E224" s="1" t="s">
        <v>14</v>
      </c>
      <c r="F224">
        <f>VLOOKUP(B224,'Small Pricelist'!A:L,3,0)</f>
        <v>7500</v>
      </c>
      <c r="G224" s="1" t="s">
        <v>14</v>
      </c>
      <c r="H224">
        <f>VLOOKUP(B224,'Small Pricelist'!A:L,4,0)</f>
        <v>6119.25</v>
      </c>
      <c r="I224" s="1" t="s">
        <v>14</v>
      </c>
      <c r="J224">
        <f>VLOOKUP(B224,'Small Pricelist'!A:L,5,0)</f>
        <v>25</v>
      </c>
      <c r="K224" s="1" t="s">
        <v>14</v>
      </c>
      <c r="L224">
        <f>VLOOKUP(B224,'Small Pricelist'!A:L,6,0)</f>
        <v>0</v>
      </c>
      <c r="M224" s="1" t="s">
        <v>14</v>
      </c>
      <c r="N224">
        <f>VLOOKUP(B224,'Small Pricelist'!A:L,7,0)</f>
        <v>0</v>
      </c>
      <c r="O224" s="1" t="s">
        <v>14</v>
      </c>
      <c r="P224">
        <f>VLOOKUP(B224,'Small Pricelist'!A:L,8,0)</f>
        <v>5529.2499999999991</v>
      </c>
      <c r="Q224" s="1" t="s">
        <v>14</v>
      </c>
      <c r="R224">
        <f>VLOOKUP(B224,'Small Pricelist'!A:L,9,0)</f>
        <v>1970.7500000000009</v>
      </c>
      <c r="S224" s="1" t="s">
        <v>14</v>
      </c>
      <c r="T224">
        <f>VLOOKUP(B224,'Small Pricelist'!A:L,10,0)</f>
        <v>98.537500000000023</v>
      </c>
      <c r="U224" s="1" t="s">
        <v>14</v>
      </c>
      <c r="V224">
        <f>VLOOKUP(B224,'Small Pricelist'!A:L,11,0)</f>
        <v>35.642266130126174</v>
      </c>
      <c r="W224" s="1" t="s">
        <v>14</v>
      </c>
      <c r="X224">
        <f>VLOOKUP(B224,'Small Pricelist'!A:L,12,0)</f>
        <v>5529.2500000000027</v>
      </c>
      <c r="Y224" s="1" t="s">
        <v>12</v>
      </c>
      <c r="Z224" s="25" t="str">
        <f t="shared" si="3"/>
        <v>&lt;tr&gt; &lt;td&gt;7577265&lt;/td&gt;&lt;td&gt;SERVO PREMIUM CF 4 15W 40-20L BUC&lt;/td&gt;&lt;td&gt;7500&lt;/td&gt;&lt;td&gt;6119.25&lt;/td&gt;&lt;td&gt;25&lt;/td&gt;&lt;td&gt;0&lt;/td&gt;&lt;td&gt;0&lt;/td&gt;&lt;td&gt;5529.25&lt;/td&gt;&lt;td&gt;1970.75&lt;/td&gt;&lt;td&gt;98.5375&lt;/td&gt;&lt;td&gt;35.6422661301262&lt;/td&gt;&lt;td&gt;5529.25&lt;/td&gt;&lt;/tr&gt;</v>
      </c>
    </row>
    <row r="225" spans="1:26" x14ac:dyDescent="0.3">
      <c r="A225" s="1" t="s">
        <v>13</v>
      </c>
      <c r="B225">
        <f>'Small Pricelist'!A224</f>
        <v>7584165</v>
      </c>
      <c r="C225" s="1" t="s">
        <v>14</v>
      </c>
      <c r="D225" t="str">
        <f>VLOOKUP(B225,'Small Pricelist'!A:L,2,0)</f>
        <v>SERVO KOOL PLUS - 20X1/4L-HDPE</v>
      </c>
      <c r="E225" s="1" t="s">
        <v>14</v>
      </c>
      <c r="F225">
        <f>VLOOKUP(B225,'Small Pricelist'!A:L,3,0)</f>
        <v>115.5</v>
      </c>
      <c r="G225" s="1" t="s">
        <v>14</v>
      </c>
      <c r="H225">
        <f>VLOOKUP(B225,'Small Pricelist'!A:L,4,0)</f>
        <v>90.575100000000006</v>
      </c>
      <c r="I225" s="1" t="s">
        <v>14</v>
      </c>
      <c r="J225">
        <f>VLOOKUP(B225,'Small Pricelist'!A:L,5,0)</f>
        <v>0</v>
      </c>
      <c r="K225" s="1" t="s">
        <v>14</v>
      </c>
      <c r="L225">
        <f>VLOOKUP(B225,'Small Pricelist'!A:L,6,0)</f>
        <v>0</v>
      </c>
      <c r="M225" s="1" t="s">
        <v>14</v>
      </c>
      <c r="N225">
        <f>VLOOKUP(B225,'Small Pricelist'!A:L,7,0)</f>
        <v>0</v>
      </c>
      <c r="O225" s="1" t="s">
        <v>14</v>
      </c>
      <c r="P225">
        <f>VLOOKUP(B225,'Small Pricelist'!A:L,8,0)</f>
        <v>90.575100000000006</v>
      </c>
      <c r="Q225" s="1" t="s">
        <v>14</v>
      </c>
      <c r="R225">
        <f>VLOOKUP(B225,'Small Pricelist'!A:L,9,0)</f>
        <v>24.924899999999994</v>
      </c>
      <c r="S225" s="1" t="s">
        <v>14</v>
      </c>
      <c r="T225">
        <f>VLOOKUP(B225,'Small Pricelist'!A:L,10,0)</f>
        <v>99.699599999999975</v>
      </c>
      <c r="U225" s="1" t="s">
        <v>14</v>
      </c>
      <c r="V225">
        <f>VLOOKUP(B225,'Small Pricelist'!A:L,11,0)</f>
        <v>27.518490181076249</v>
      </c>
      <c r="W225" s="1" t="s">
        <v>14</v>
      </c>
      <c r="X225">
        <f>VLOOKUP(B225,'Small Pricelist'!A:L,12,0)</f>
        <v>1811.5020000000002</v>
      </c>
      <c r="Y225" s="1" t="s">
        <v>12</v>
      </c>
      <c r="Z225" s="25" t="str">
        <f t="shared" si="3"/>
        <v>&lt;tr&gt; &lt;td&gt;7584165&lt;/td&gt;&lt;td&gt;SERVO KOOL PLUS - 20X1/4L-HDPE&lt;/td&gt;&lt;td&gt;115.5&lt;/td&gt;&lt;td&gt;90.5751&lt;/td&gt;&lt;td&gt;0&lt;/td&gt;&lt;td&gt;0&lt;/td&gt;&lt;td&gt;0&lt;/td&gt;&lt;td&gt;90.5751&lt;/td&gt;&lt;td&gt;24.9249&lt;/td&gt;&lt;td&gt;99.6996&lt;/td&gt;&lt;td&gt;27.5184901810762&lt;/td&gt;&lt;td&gt;1811.502&lt;/td&gt;&lt;/tr&gt;</v>
      </c>
    </row>
    <row r="226" spans="1:26" x14ac:dyDescent="0.3">
      <c r="A226" s="1" t="s">
        <v>13</v>
      </c>
      <c r="B226">
        <f>'Small Pricelist'!A225</f>
        <v>7584175</v>
      </c>
      <c r="C226" s="1" t="s">
        <v>14</v>
      </c>
      <c r="D226" t="str">
        <f>VLOOKUP(B226,'Small Pricelist'!A:L,2,0)</f>
        <v>SERVO KOOL PLUS-20X1/2L-HDPE</v>
      </c>
      <c r="E226" s="1" t="s">
        <v>14</v>
      </c>
      <c r="F226">
        <f>VLOOKUP(B226,'Small Pricelist'!A:L,3,0)</f>
        <v>226</v>
      </c>
      <c r="G226" s="1" t="s">
        <v>14</v>
      </c>
      <c r="H226">
        <f>VLOOKUP(B226,'Small Pricelist'!A:L,4,0)</f>
        <v>181.16159999999999</v>
      </c>
      <c r="I226" s="1" t="s">
        <v>14</v>
      </c>
      <c r="J226">
        <f>VLOOKUP(B226,'Small Pricelist'!A:L,5,0)</f>
        <v>0</v>
      </c>
      <c r="K226" s="1" t="s">
        <v>14</v>
      </c>
      <c r="L226">
        <f>VLOOKUP(B226,'Small Pricelist'!A:L,6,0)</f>
        <v>0</v>
      </c>
      <c r="M226" s="1" t="s">
        <v>14</v>
      </c>
      <c r="N226">
        <f>VLOOKUP(B226,'Small Pricelist'!A:L,7,0)</f>
        <v>0</v>
      </c>
      <c r="O226" s="1" t="s">
        <v>14</v>
      </c>
      <c r="P226">
        <f>VLOOKUP(B226,'Small Pricelist'!A:L,8,0)</f>
        <v>181.16159999999999</v>
      </c>
      <c r="Q226" s="1" t="s">
        <v>14</v>
      </c>
      <c r="R226">
        <f>VLOOKUP(B226,'Small Pricelist'!A:L,9,0)</f>
        <v>44.838400000000007</v>
      </c>
      <c r="S226" s="1" t="s">
        <v>14</v>
      </c>
      <c r="T226">
        <f>VLOOKUP(B226,'Small Pricelist'!A:L,10,0)</f>
        <v>89.676800000000014</v>
      </c>
      <c r="U226" s="1" t="s">
        <v>14</v>
      </c>
      <c r="V226">
        <f>VLOOKUP(B226,'Small Pricelist'!A:L,11,0)</f>
        <v>24.750499001996012</v>
      </c>
      <c r="W226" s="1" t="s">
        <v>14</v>
      </c>
      <c r="X226">
        <f>VLOOKUP(B226,'Small Pricelist'!A:L,12,0)</f>
        <v>3623.2320000000018</v>
      </c>
      <c r="Y226" s="1" t="s">
        <v>12</v>
      </c>
      <c r="Z226" s="25" t="str">
        <f t="shared" si="3"/>
        <v>&lt;tr&gt; &lt;td&gt;7584175&lt;/td&gt;&lt;td&gt;SERVO KOOL PLUS-20X1/2L-HDPE&lt;/td&gt;&lt;td&gt;226&lt;/td&gt;&lt;td&gt;181.1616&lt;/td&gt;&lt;td&gt;0&lt;/td&gt;&lt;td&gt;0&lt;/td&gt;&lt;td&gt;0&lt;/td&gt;&lt;td&gt;181.1616&lt;/td&gt;&lt;td&gt;44.8384&lt;/td&gt;&lt;td&gt;89.6768&lt;/td&gt;&lt;td&gt;24.750499001996&lt;/td&gt;&lt;td&gt;3623.232&lt;/td&gt;&lt;/tr&gt;</v>
      </c>
    </row>
    <row r="227" spans="1:26" x14ac:dyDescent="0.3">
      <c r="A227" s="1" t="s">
        <v>13</v>
      </c>
      <c r="B227">
        <f>'Small Pricelist'!A226</f>
        <v>7584184</v>
      </c>
      <c r="C227" s="1" t="s">
        <v>14</v>
      </c>
      <c r="D227" t="str">
        <f>VLOOKUP(B227,'Small Pricelist'!A:L,2,0)</f>
        <v>SERVO KOOL PLUS-20X1L-HDPE</v>
      </c>
      <c r="E227" s="1" t="s">
        <v>14</v>
      </c>
      <c r="F227">
        <f>VLOOKUP(B227,'Small Pricelist'!A:L,3,0)</f>
        <v>415</v>
      </c>
      <c r="G227" s="1" t="s">
        <v>14</v>
      </c>
      <c r="H227">
        <f>VLOOKUP(B227,'Small Pricelist'!A:L,4,0)</f>
        <v>334.82200000000006</v>
      </c>
      <c r="I227" s="1" t="s">
        <v>14</v>
      </c>
      <c r="J227">
        <f>VLOOKUP(B227,'Small Pricelist'!A:L,5,0)</f>
        <v>0</v>
      </c>
      <c r="K227" s="1" t="s">
        <v>14</v>
      </c>
      <c r="L227">
        <f>VLOOKUP(B227,'Small Pricelist'!A:L,6,0)</f>
        <v>0</v>
      </c>
      <c r="M227" s="1" t="s">
        <v>14</v>
      </c>
      <c r="N227">
        <f>VLOOKUP(B227,'Small Pricelist'!A:L,7,0)</f>
        <v>0</v>
      </c>
      <c r="O227" s="1" t="s">
        <v>14</v>
      </c>
      <c r="P227">
        <f>VLOOKUP(B227,'Small Pricelist'!A:L,8,0)</f>
        <v>334.82200000000006</v>
      </c>
      <c r="Q227" s="1" t="s">
        <v>14</v>
      </c>
      <c r="R227">
        <f>VLOOKUP(B227,'Small Pricelist'!A:L,9,0)</f>
        <v>80.17799999999994</v>
      </c>
      <c r="S227" s="1" t="s">
        <v>14</v>
      </c>
      <c r="T227">
        <f>VLOOKUP(B227,'Small Pricelist'!A:L,10,0)</f>
        <v>80.17799999999994</v>
      </c>
      <c r="U227" s="1" t="s">
        <v>14</v>
      </c>
      <c r="V227">
        <f>VLOOKUP(B227,'Small Pricelist'!A:L,11,0)</f>
        <v>23.946455131383221</v>
      </c>
      <c r="W227" s="1" t="s">
        <v>14</v>
      </c>
      <c r="X227">
        <f>VLOOKUP(B227,'Small Pricelist'!A:L,12,0)</f>
        <v>6696.440000000006</v>
      </c>
      <c r="Y227" s="1" t="s">
        <v>12</v>
      </c>
      <c r="Z227" s="25" t="str">
        <f t="shared" si="3"/>
        <v>&lt;tr&gt; &lt;td&gt;7584184&lt;/td&gt;&lt;td&gt;SERVO KOOL PLUS-20X1L-HDPE&lt;/td&gt;&lt;td&gt;415&lt;/td&gt;&lt;td&gt;334.822&lt;/td&gt;&lt;td&gt;0&lt;/td&gt;&lt;td&gt;0&lt;/td&gt;&lt;td&gt;0&lt;/td&gt;&lt;td&gt;334.822&lt;/td&gt;&lt;td&gt;80.1779999999999&lt;/td&gt;&lt;td&gt;80.1779999999999&lt;/td&gt;&lt;td&gt;23.9464551313832&lt;/td&gt;&lt;td&gt;6696.44000000001&lt;/td&gt;&lt;/tr&gt;</v>
      </c>
    </row>
    <row r="228" spans="1:26" x14ac:dyDescent="0.3">
      <c r="A228" s="1" t="s">
        <v>13</v>
      </c>
      <c r="B228">
        <f>'Small Pricelist'!A227</f>
        <v>7584185</v>
      </c>
      <c r="C228" s="1" t="s">
        <v>14</v>
      </c>
      <c r="D228" t="str">
        <f>VLOOKUP(B228,'Small Pricelist'!A:L,2,0)</f>
        <v>SERVO KOOL PLUS-10X1L-HDPE</v>
      </c>
      <c r="E228" s="1" t="s">
        <v>14</v>
      </c>
      <c r="F228">
        <f>VLOOKUP(B228,'Small Pricelist'!A:L,3,0)</f>
        <v>415</v>
      </c>
      <c r="G228" s="1" t="s">
        <v>14</v>
      </c>
      <c r="H228">
        <f>VLOOKUP(B228,'Small Pricelist'!A:L,4,0)</f>
        <v>334.82200000000006</v>
      </c>
      <c r="I228" s="1" t="s">
        <v>14</v>
      </c>
      <c r="J228">
        <f>VLOOKUP(B228,'Small Pricelist'!A:L,5,0)</f>
        <v>0</v>
      </c>
      <c r="K228" s="1" t="s">
        <v>14</v>
      </c>
      <c r="L228">
        <f>VLOOKUP(B228,'Small Pricelist'!A:L,6,0)</f>
        <v>0</v>
      </c>
      <c r="M228" s="1" t="s">
        <v>14</v>
      </c>
      <c r="N228">
        <f>VLOOKUP(B228,'Small Pricelist'!A:L,7,0)</f>
        <v>0</v>
      </c>
      <c r="O228" s="1" t="s">
        <v>14</v>
      </c>
      <c r="P228">
        <f>VLOOKUP(B228,'Small Pricelist'!A:L,8,0)</f>
        <v>334.82200000000006</v>
      </c>
      <c r="Q228" s="1" t="s">
        <v>14</v>
      </c>
      <c r="R228">
        <f>VLOOKUP(B228,'Small Pricelist'!A:L,9,0)</f>
        <v>80.17799999999994</v>
      </c>
      <c r="S228" s="1" t="s">
        <v>14</v>
      </c>
      <c r="T228">
        <f>VLOOKUP(B228,'Small Pricelist'!A:L,10,0)</f>
        <v>80.17799999999994</v>
      </c>
      <c r="U228" s="1" t="s">
        <v>14</v>
      </c>
      <c r="V228">
        <f>VLOOKUP(B228,'Small Pricelist'!A:L,11,0)</f>
        <v>23.946455131383221</v>
      </c>
      <c r="W228" s="1" t="s">
        <v>14</v>
      </c>
      <c r="X228">
        <f>VLOOKUP(B228,'Small Pricelist'!A:L,12,0)</f>
        <v>3348.2200000000025</v>
      </c>
      <c r="Y228" s="1" t="s">
        <v>12</v>
      </c>
      <c r="Z228" s="25" t="str">
        <f t="shared" si="3"/>
        <v>&lt;tr&gt; &lt;td&gt;7584185&lt;/td&gt;&lt;td&gt;SERVO KOOL PLUS-10X1L-HDPE&lt;/td&gt;&lt;td&gt;415&lt;/td&gt;&lt;td&gt;334.822&lt;/td&gt;&lt;td&gt;0&lt;/td&gt;&lt;td&gt;0&lt;/td&gt;&lt;td&gt;0&lt;/td&gt;&lt;td&gt;334.822&lt;/td&gt;&lt;td&gt;80.1779999999999&lt;/td&gt;&lt;td&gt;80.1779999999999&lt;/td&gt;&lt;td&gt;23.9464551313832&lt;/td&gt;&lt;td&gt;3348.22&lt;/td&gt;&lt;/tr&gt;</v>
      </c>
    </row>
    <row r="229" spans="1:26" x14ac:dyDescent="0.3">
      <c r="A229" s="1" t="s">
        <v>13</v>
      </c>
      <c r="B229">
        <f>'Small Pricelist'!A228</f>
        <v>7586234</v>
      </c>
      <c r="C229" s="1" t="s">
        <v>14</v>
      </c>
      <c r="D229" t="str">
        <f>VLOOKUP(B229,'Small Pricelist'!A:L,2,0)</f>
        <v>SERVO ORCHARD SPRAY OIL-4x5L - HDPE</v>
      </c>
      <c r="E229" s="1" t="s">
        <v>14</v>
      </c>
      <c r="F229">
        <f>VLOOKUP(B229,'Small Pricelist'!A:L,3,0)</f>
        <v>1617</v>
      </c>
      <c r="G229" s="1" t="s">
        <v>14</v>
      </c>
      <c r="H229">
        <f>VLOOKUP(B229,'Small Pricelist'!A:L,4,0)</f>
        <v>1340.9781</v>
      </c>
      <c r="I229" s="1" t="s">
        <v>14</v>
      </c>
      <c r="J229">
        <f>VLOOKUP(B229,'Small Pricelist'!A:L,5,0)</f>
        <v>0</v>
      </c>
      <c r="K229" s="1" t="s">
        <v>14</v>
      </c>
      <c r="L229">
        <f>VLOOKUP(B229,'Small Pricelist'!A:L,6,0)</f>
        <v>0</v>
      </c>
      <c r="M229" s="1" t="s">
        <v>14</v>
      </c>
      <c r="N229">
        <f>VLOOKUP(B229,'Small Pricelist'!A:L,7,0)</f>
        <v>0</v>
      </c>
      <c r="O229" s="1" t="s">
        <v>14</v>
      </c>
      <c r="P229">
        <f>VLOOKUP(B229,'Small Pricelist'!A:L,8,0)</f>
        <v>1340.9781</v>
      </c>
      <c r="Q229" s="1" t="s">
        <v>14</v>
      </c>
      <c r="R229">
        <f>VLOOKUP(B229,'Small Pricelist'!A:L,9,0)</f>
        <v>276.02189999999996</v>
      </c>
      <c r="S229" s="1" t="s">
        <v>14</v>
      </c>
      <c r="T229">
        <f>VLOOKUP(B229,'Small Pricelist'!A:L,10,0)</f>
        <v>55.204379999999958</v>
      </c>
      <c r="U229" s="1" t="s">
        <v>14</v>
      </c>
      <c r="V229">
        <f>VLOOKUP(B229,'Small Pricelist'!A:L,11,0)</f>
        <v>20.583624743759792</v>
      </c>
      <c r="W229" s="1" t="s">
        <v>14</v>
      </c>
      <c r="X229">
        <f>VLOOKUP(B229,'Small Pricelist'!A:L,12,0)</f>
        <v>5363.9124000000038</v>
      </c>
      <c r="Y229" s="1" t="s">
        <v>12</v>
      </c>
      <c r="Z229" s="25" t="str">
        <f t="shared" si="3"/>
        <v>&lt;tr&gt; &lt;td&gt;7586234&lt;/td&gt;&lt;td&gt;SERVO ORCHARD SPRAY OIL-4x5L - HDPE&lt;/td&gt;&lt;td&gt;1617&lt;/td&gt;&lt;td&gt;1340.9781&lt;/td&gt;&lt;td&gt;0&lt;/td&gt;&lt;td&gt;0&lt;/td&gt;&lt;td&gt;0&lt;/td&gt;&lt;td&gt;1340.9781&lt;/td&gt;&lt;td&gt;276.0219&lt;/td&gt;&lt;td&gt;55.20438&lt;/td&gt;&lt;td&gt;20.5836247437598&lt;/td&gt;&lt;td&gt;5363.9124&lt;/td&gt;&lt;/tr&gt;</v>
      </c>
    </row>
    <row r="230" spans="1:26" x14ac:dyDescent="0.3">
      <c r="A230" s="1" t="s">
        <v>13</v>
      </c>
      <c r="B230">
        <f>'Small Pricelist'!A229</f>
        <v>7586242</v>
      </c>
      <c r="C230" s="1" t="s">
        <v>14</v>
      </c>
      <c r="D230" t="str">
        <f>VLOOKUP(B230,'Small Pricelist'!A:L,2,0)</f>
        <v>SERVO ORCHARD SPRAY OIL - 10 L BUC</v>
      </c>
      <c r="E230" s="1" t="s">
        <v>14</v>
      </c>
      <c r="F230">
        <f>VLOOKUP(B230,'Small Pricelist'!A:L,3,0)</f>
        <v>3193</v>
      </c>
      <c r="G230" s="1" t="s">
        <v>14</v>
      </c>
      <c r="H230">
        <f>VLOOKUP(B230,'Small Pricelist'!A:L,4,0)</f>
        <v>2649.2321000000002</v>
      </c>
      <c r="I230" s="1" t="s">
        <v>14</v>
      </c>
      <c r="J230">
        <f>VLOOKUP(B230,'Small Pricelist'!A:L,5,0)</f>
        <v>0</v>
      </c>
      <c r="K230" s="1" t="s">
        <v>14</v>
      </c>
      <c r="L230">
        <f>VLOOKUP(B230,'Small Pricelist'!A:L,6,0)</f>
        <v>0</v>
      </c>
      <c r="M230" s="1" t="s">
        <v>14</v>
      </c>
      <c r="N230">
        <f>VLOOKUP(B230,'Small Pricelist'!A:L,7,0)</f>
        <v>0</v>
      </c>
      <c r="O230" s="1" t="s">
        <v>14</v>
      </c>
      <c r="P230">
        <f>VLOOKUP(B230,'Small Pricelist'!A:L,8,0)</f>
        <v>2649.2321000000002</v>
      </c>
      <c r="Q230" s="1" t="s">
        <v>14</v>
      </c>
      <c r="R230">
        <f>VLOOKUP(B230,'Small Pricelist'!A:L,9,0)</f>
        <v>543.76789999999983</v>
      </c>
      <c r="S230" s="1" t="s">
        <v>14</v>
      </c>
      <c r="T230">
        <f>VLOOKUP(B230,'Small Pricelist'!A:L,10,0)</f>
        <v>54.376789999999971</v>
      </c>
      <c r="U230" s="1" t="s">
        <v>14</v>
      </c>
      <c r="V230">
        <f>VLOOKUP(B230,'Small Pricelist'!A:L,11,0)</f>
        <v>20.525491141376392</v>
      </c>
      <c r="W230" s="1" t="s">
        <v>14</v>
      </c>
      <c r="X230">
        <f>VLOOKUP(B230,'Small Pricelist'!A:L,12,0)</f>
        <v>2649.2321000000015</v>
      </c>
      <c r="Y230" s="1" t="s">
        <v>12</v>
      </c>
      <c r="Z230" s="25" t="str">
        <f t="shared" si="3"/>
        <v>&lt;tr&gt; &lt;td&gt;7586242&lt;/td&gt;&lt;td&gt;SERVO ORCHARD SPRAY OIL - 10 L BUC&lt;/td&gt;&lt;td&gt;3193&lt;/td&gt;&lt;td&gt;2649.2321&lt;/td&gt;&lt;td&gt;0&lt;/td&gt;&lt;td&gt;0&lt;/td&gt;&lt;td&gt;0&lt;/td&gt;&lt;td&gt;2649.2321&lt;/td&gt;&lt;td&gt;543.7679&lt;/td&gt;&lt;td&gt;54.37679&lt;/td&gt;&lt;td&gt;20.5254911413764&lt;/td&gt;&lt;td&gt;2649.2321&lt;/td&gt;&lt;/tr&gt;</v>
      </c>
    </row>
    <row r="231" spans="1:26" x14ac:dyDescent="0.3">
      <c r="A231" s="1" t="s">
        <v>13</v>
      </c>
      <c r="B231">
        <f>'Small Pricelist'!A230</f>
        <v>7586265</v>
      </c>
      <c r="C231" s="1" t="s">
        <v>14</v>
      </c>
      <c r="D231" t="str">
        <f>VLOOKUP(B231,'Small Pricelist'!A:L,2,0)</f>
        <v>SERVO ORCHARD SPRAY OIL - 20 L BUC</v>
      </c>
      <c r="E231" s="1" t="s">
        <v>14</v>
      </c>
      <c r="F231">
        <f>VLOOKUP(B231,'Small Pricelist'!A:L,3,0)</f>
        <v>6277</v>
      </c>
      <c r="G231" s="1" t="s">
        <v>14</v>
      </c>
      <c r="H231">
        <f>VLOOKUP(B231,'Small Pricelist'!A:L,4,0)</f>
        <v>5211.1653999999999</v>
      </c>
      <c r="I231" s="1" t="s">
        <v>14</v>
      </c>
      <c r="J231">
        <f>VLOOKUP(B231,'Small Pricelist'!A:L,5,0)</f>
        <v>0</v>
      </c>
      <c r="K231" s="1" t="s">
        <v>14</v>
      </c>
      <c r="L231">
        <f>VLOOKUP(B231,'Small Pricelist'!A:L,6,0)</f>
        <v>0</v>
      </c>
      <c r="M231" s="1" t="s">
        <v>14</v>
      </c>
      <c r="N231">
        <f>VLOOKUP(B231,'Small Pricelist'!A:L,7,0)</f>
        <v>0</v>
      </c>
      <c r="O231" s="1" t="s">
        <v>14</v>
      </c>
      <c r="P231">
        <f>VLOOKUP(B231,'Small Pricelist'!A:L,8,0)</f>
        <v>5211.1654000000008</v>
      </c>
      <c r="Q231" s="1" t="s">
        <v>14</v>
      </c>
      <c r="R231">
        <f>VLOOKUP(B231,'Small Pricelist'!A:L,9,0)</f>
        <v>1065.8345999999992</v>
      </c>
      <c r="S231" s="1" t="s">
        <v>14</v>
      </c>
      <c r="T231">
        <f>VLOOKUP(B231,'Small Pricelist'!A:L,10,0)</f>
        <v>53.291729999999973</v>
      </c>
      <c r="U231" s="1" t="s">
        <v>14</v>
      </c>
      <c r="V231">
        <f>VLOOKUP(B231,'Small Pricelist'!A:L,11,0)</f>
        <v>20.452902914960234</v>
      </c>
      <c r="W231" s="1" t="s">
        <v>14</v>
      </c>
      <c r="X231">
        <f>VLOOKUP(B231,'Small Pricelist'!A:L,12,0)</f>
        <v>5211.1654000000044</v>
      </c>
      <c r="Y231" s="1" t="s">
        <v>12</v>
      </c>
      <c r="Z231" s="25" t="str">
        <f t="shared" si="3"/>
        <v>&lt;tr&gt; &lt;td&gt;7586265&lt;/td&gt;&lt;td&gt;SERVO ORCHARD SPRAY OIL - 20 L BUC&lt;/td&gt;&lt;td&gt;6277&lt;/td&gt;&lt;td&gt;5211.1654&lt;/td&gt;&lt;td&gt;0&lt;/td&gt;&lt;td&gt;0&lt;/td&gt;&lt;td&gt;0&lt;/td&gt;&lt;td&gt;5211.1654&lt;/td&gt;&lt;td&gt;1065.8346&lt;/td&gt;&lt;td&gt;53.29173&lt;/td&gt;&lt;td&gt;20.4529029149602&lt;/td&gt;&lt;td&gt;5211.1654&lt;/td&gt;&lt;/tr&gt;</v>
      </c>
    </row>
    <row r="232" spans="1:26" x14ac:dyDescent="0.3">
      <c r="A232" s="1" t="s">
        <v>13</v>
      </c>
      <c r="B232">
        <f>'Small Pricelist'!A231</f>
        <v>7600184</v>
      </c>
      <c r="C232" s="1" t="s">
        <v>14</v>
      </c>
      <c r="D232" t="str">
        <f>VLOOKUP(B232,'Small Pricelist'!A:L,2,0)</f>
        <v>MGO 20W-40 - 20 X 1 L</v>
      </c>
      <c r="E232" s="1" t="s">
        <v>14</v>
      </c>
      <c r="F232">
        <f>VLOOKUP(B232,'Small Pricelist'!A:L,3,0)</f>
        <v>339</v>
      </c>
      <c r="G232" s="1" t="s">
        <v>14</v>
      </c>
      <c r="H232">
        <f>VLOOKUP(B232,'Small Pricelist'!A:L,4,0)</f>
        <v>261.1995</v>
      </c>
      <c r="I232" s="1" t="s">
        <v>14</v>
      </c>
      <c r="J232">
        <f>VLOOKUP(B232,'Small Pricelist'!A:L,5,0)</f>
        <v>5</v>
      </c>
      <c r="K232" s="1" t="s">
        <v>14</v>
      </c>
      <c r="L232">
        <f>VLOOKUP(B232,'Small Pricelist'!A:L,6,0)</f>
        <v>0</v>
      </c>
      <c r="M232" s="1" t="s">
        <v>14</v>
      </c>
      <c r="N232">
        <f>VLOOKUP(B232,'Small Pricelist'!A:L,7,0)</f>
        <v>0</v>
      </c>
      <c r="O232" s="1" t="s">
        <v>14</v>
      </c>
      <c r="P232">
        <f>VLOOKUP(B232,'Small Pricelist'!A:L,8,0)</f>
        <v>255.29949999999999</v>
      </c>
      <c r="Q232" s="1" t="s">
        <v>14</v>
      </c>
      <c r="R232">
        <f>VLOOKUP(B232,'Small Pricelist'!A:L,9,0)</f>
        <v>83.700500000000005</v>
      </c>
      <c r="S232" s="1" t="s">
        <v>14</v>
      </c>
      <c r="T232">
        <f>VLOOKUP(B232,'Small Pricelist'!A:L,10,0)</f>
        <v>83.700500000000005</v>
      </c>
      <c r="U232" s="1" t="s">
        <v>14</v>
      </c>
      <c r="V232">
        <f>VLOOKUP(B232,'Small Pricelist'!A:L,11,0)</f>
        <v>32.785218929140093</v>
      </c>
      <c r="W232" s="1" t="s">
        <v>14</v>
      </c>
      <c r="X232">
        <f>VLOOKUP(B232,'Small Pricelist'!A:L,12,0)</f>
        <v>5105.9900000000034</v>
      </c>
      <c r="Y232" s="1" t="s">
        <v>12</v>
      </c>
      <c r="Z232" s="25" t="str">
        <f t="shared" si="3"/>
        <v>&lt;tr&gt; &lt;td&gt;7600184&lt;/td&gt;&lt;td&gt;MGO 20W-40 - 20 X 1 L&lt;/td&gt;&lt;td&gt;339&lt;/td&gt;&lt;td&gt;261.1995&lt;/td&gt;&lt;td&gt;5&lt;/td&gt;&lt;td&gt;0&lt;/td&gt;&lt;td&gt;0&lt;/td&gt;&lt;td&gt;255.2995&lt;/td&gt;&lt;td&gt;83.7005&lt;/td&gt;&lt;td&gt;83.7005&lt;/td&gt;&lt;td&gt;32.7852189291401&lt;/td&gt;&lt;td&gt;5105.99&lt;/td&gt;&lt;/tr&gt;</v>
      </c>
    </row>
    <row r="233" spans="1:26" x14ac:dyDescent="0.3">
      <c r="A233" s="1" t="s">
        <v>13</v>
      </c>
      <c r="B233">
        <f>'Small Pricelist'!A232</f>
        <v>7600203</v>
      </c>
      <c r="C233" s="1" t="s">
        <v>14</v>
      </c>
      <c r="D233" t="str">
        <f>VLOOKUP(B233,'Small Pricelist'!A:L,2,0)</f>
        <v>MGO 20W-40 - 4 X 3 L</v>
      </c>
      <c r="E233" s="1" t="s">
        <v>14</v>
      </c>
      <c r="F233">
        <f>VLOOKUP(B233,'Small Pricelist'!A:L,3,0)</f>
        <v>1017</v>
      </c>
      <c r="G233" s="1" t="s">
        <v>14</v>
      </c>
      <c r="H233">
        <f>VLOOKUP(B233,'Small Pricelist'!A:L,4,0)</f>
        <v>759.39390000000003</v>
      </c>
      <c r="I233" s="1" t="s">
        <v>14</v>
      </c>
      <c r="J233">
        <f>VLOOKUP(B233,'Small Pricelist'!A:L,5,0)</f>
        <v>12</v>
      </c>
      <c r="K233" s="1" t="s">
        <v>14</v>
      </c>
      <c r="L233">
        <f>VLOOKUP(B233,'Small Pricelist'!A:L,6,0)</f>
        <v>0</v>
      </c>
      <c r="M233" s="1" t="s">
        <v>14</v>
      </c>
      <c r="N233">
        <f>VLOOKUP(B233,'Small Pricelist'!A:L,7,0)</f>
        <v>0</v>
      </c>
      <c r="O233" s="1" t="s">
        <v>14</v>
      </c>
      <c r="P233">
        <f>VLOOKUP(B233,'Small Pricelist'!A:L,8,0)</f>
        <v>716.91390000000001</v>
      </c>
      <c r="Q233" s="1" t="s">
        <v>14</v>
      </c>
      <c r="R233">
        <f>VLOOKUP(B233,'Small Pricelist'!A:L,9,0)</f>
        <v>300.08609999999999</v>
      </c>
      <c r="S233" s="1" t="s">
        <v>14</v>
      </c>
      <c r="T233">
        <f>VLOOKUP(B233,'Small Pricelist'!A:L,10,0)</f>
        <v>100.02869999999999</v>
      </c>
      <c r="U233" s="1" t="s">
        <v>14</v>
      </c>
      <c r="V233">
        <f>VLOOKUP(B233,'Small Pricelist'!A:L,11,0)</f>
        <v>41.858039019748396</v>
      </c>
      <c r="W233" s="1" t="s">
        <v>14</v>
      </c>
      <c r="X233">
        <f>VLOOKUP(B233,'Small Pricelist'!A:L,12,0)</f>
        <v>2867.6556000000014</v>
      </c>
      <c r="Y233" s="1" t="s">
        <v>12</v>
      </c>
      <c r="Z233" s="25" t="str">
        <f t="shared" si="3"/>
        <v>&lt;tr&gt; &lt;td&gt;7600203&lt;/td&gt;&lt;td&gt;MGO 20W-40 - 4 X 3 L&lt;/td&gt;&lt;td&gt;1017&lt;/td&gt;&lt;td&gt;759.3939&lt;/td&gt;&lt;td&gt;12&lt;/td&gt;&lt;td&gt;0&lt;/td&gt;&lt;td&gt;0&lt;/td&gt;&lt;td&gt;716.9139&lt;/td&gt;&lt;td&gt;300.0861&lt;/td&gt;&lt;td&gt;100.0287&lt;/td&gt;&lt;td&gt;41.8580390197484&lt;/td&gt;&lt;td&gt;2867.6556&lt;/td&gt;&lt;/tr&gt;</v>
      </c>
    </row>
    <row r="234" spans="1:26" x14ac:dyDescent="0.3">
      <c r="A234" s="1" t="s">
        <v>13</v>
      </c>
      <c r="B234">
        <f>'Small Pricelist'!A233</f>
        <v>7607184</v>
      </c>
      <c r="C234" s="1" t="s">
        <v>14</v>
      </c>
      <c r="D234" t="str">
        <f>VLOOKUP(B234,'Small Pricelist'!A:L,2,0)</f>
        <v>SERVO KOOL READY-20X1L-HDPE</v>
      </c>
      <c r="E234" s="1" t="s">
        <v>14</v>
      </c>
      <c r="F234">
        <f>VLOOKUP(B234,'Small Pricelist'!A:L,3,0)</f>
        <v>315</v>
      </c>
      <c r="G234" s="1" t="s">
        <v>14</v>
      </c>
      <c r="H234">
        <f>VLOOKUP(B234,'Small Pricelist'!A:L,4,0)</f>
        <v>254.83500000000001</v>
      </c>
      <c r="I234" s="1" t="s">
        <v>14</v>
      </c>
      <c r="J234">
        <f>VLOOKUP(B234,'Small Pricelist'!A:L,5,0)</f>
        <v>0</v>
      </c>
      <c r="K234" s="1" t="s">
        <v>14</v>
      </c>
      <c r="L234">
        <f>VLOOKUP(B234,'Small Pricelist'!A:L,6,0)</f>
        <v>0</v>
      </c>
      <c r="M234" s="1" t="s">
        <v>14</v>
      </c>
      <c r="N234">
        <f>VLOOKUP(B234,'Small Pricelist'!A:L,7,0)</f>
        <v>0</v>
      </c>
      <c r="O234" s="1" t="s">
        <v>14</v>
      </c>
      <c r="P234">
        <f>VLOOKUP(B234,'Small Pricelist'!A:L,8,0)</f>
        <v>254.83500000000001</v>
      </c>
      <c r="Q234" s="1" t="s">
        <v>14</v>
      </c>
      <c r="R234">
        <f>VLOOKUP(B234,'Small Pricelist'!A:L,9,0)</f>
        <v>60.164999999999992</v>
      </c>
      <c r="S234" s="1" t="s">
        <v>14</v>
      </c>
      <c r="T234">
        <f>VLOOKUP(B234,'Small Pricelist'!A:L,10,0)</f>
        <v>60.164999999999992</v>
      </c>
      <c r="U234" s="1" t="s">
        <v>14</v>
      </c>
      <c r="V234">
        <f>VLOOKUP(B234,'Small Pricelist'!A:L,11,0)</f>
        <v>23.609394313967858</v>
      </c>
      <c r="W234" s="1" t="s">
        <v>14</v>
      </c>
      <c r="X234">
        <f>VLOOKUP(B234,'Small Pricelist'!A:L,12,0)</f>
        <v>5096.7000000000035</v>
      </c>
      <c r="Y234" s="1" t="s">
        <v>12</v>
      </c>
      <c r="Z234" s="25" t="str">
        <f t="shared" si="3"/>
        <v>&lt;tr&gt; &lt;td&gt;7607184&lt;/td&gt;&lt;td&gt;SERVO KOOL READY-20X1L-HDPE&lt;/td&gt;&lt;td&gt;315&lt;/td&gt;&lt;td&gt;254.835&lt;/td&gt;&lt;td&gt;0&lt;/td&gt;&lt;td&gt;0&lt;/td&gt;&lt;td&gt;0&lt;/td&gt;&lt;td&gt;254.835&lt;/td&gt;&lt;td&gt;60.165&lt;/td&gt;&lt;td&gt;60.165&lt;/td&gt;&lt;td&gt;23.6093943139679&lt;/td&gt;&lt;td&gt;5096.7&lt;/td&gt;&lt;/tr&gt;</v>
      </c>
    </row>
    <row r="235" spans="1:26" x14ac:dyDescent="0.3">
      <c r="A235" s="1" t="s">
        <v>13</v>
      </c>
      <c r="B235">
        <f>'Small Pricelist'!A234</f>
        <v>7607185</v>
      </c>
      <c r="C235" s="1" t="s">
        <v>14</v>
      </c>
      <c r="D235" t="str">
        <f>VLOOKUP(B235,'Small Pricelist'!A:L,2,0)</f>
        <v>SERVO KOOL READY-10X1L-HDPE</v>
      </c>
      <c r="E235" s="1" t="s">
        <v>14</v>
      </c>
      <c r="F235">
        <f>VLOOKUP(B235,'Small Pricelist'!A:L,3,0)</f>
        <v>315</v>
      </c>
      <c r="G235" s="1" t="s">
        <v>14</v>
      </c>
      <c r="H235">
        <f>VLOOKUP(B235,'Small Pricelist'!A:L,4,0)</f>
        <v>254.83500000000001</v>
      </c>
      <c r="I235" s="1" t="s">
        <v>14</v>
      </c>
      <c r="J235">
        <f>VLOOKUP(B235,'Small Pricelist'!A:L,5,0)</f>
        <v>0</v>
      </c>
      <c r="K235" s="1" t="s">
        <v>14</v>
      </c>
      <c r="L235">
        <f>VLOOKUP(B235,'Small Pricelist'!A:L,6,0)</f>
        <v>0</v>
      </c>
      <c r="M235" s="1" t="s">
        <v>14</v>
      </c>
      <c r="N235">
        <f>VLOOKUP(B235,'Small Pricelist'!A:L,7,0)</f>
        <v>0</v>
      </c>
      <c r="O235" s="1" t="s">
        <v>14</v>
      </c>
      <c r="P235">
        <f>VLOOKUP(B235,'Small Pricelist'!A:L,8,0)</f>
        <v>254.83500000000001</v>
      </c>
      <c r="Q235" s="1" t="s">
        <v>14</v>
      </c>
      <c r="R235">
        <f>VLOOKUP(B235,'Small Pricelist'!A:L,9,0)</f>
        <v>60.164999999999992</v>
      </c>
      <c r="S235" s="1" t="s">
        <v>14</v>
      </c>
      <c r="T235">
        <f>VLOOKUP(B235,'Small Pricelist'!A:L,10,0)</f>
        <v>60.164999999999992</v>
      </c>
      <c r="U235" s="1" t="s">
        <v>14</v>
      </c>
      <c r="V235">
        <f>VLOOKUP(B235,'Small Pricelist'!A:L,11,0)</f>
        <v>23.609394313967858</v>
      </c>
      <c r="W235" s="1" t="s">
        <v>14</v>
      </c>
      <c r="X235">
        <f>VLOOKUP(B235,'Small Pricelist'!A:L,12,0)</f>
        <v>2548.3500000000013</v>
      </c>
      <c r="Y235" s="1" t="s">
        <v>12</v>
      </c>
      <c r="Z235" s="25" t="str">
        <f t="shared" si="3"/>
        <v>&lt;tr&gt; &lt;td&gt;7607185&lt;/td&gt;&lt;td&gt;SERVO KOOL READY-10X1L-HDPE&lt;/td&gt;&lt;td&gt;315&lt;/td&gt;&lt;td&gt;254.835&lt;/td&gt;&lt;td&gt;0&lt;/td&gt;&lt;td&gt;0&lt;/td&gt;&lt;td&gt;0&lt;/td&gt;&lt;td&gt;254.835&lt;/td&gt;&lt;td&gt;60.165&lt;/td&gt;&lt;td&gt;60.165&lt;/td&gt;&lt;td&gt;23.6093943139679&lt;/td&gt;&lt;td&gt;2548.35&lt;/td&gt;&lt;/tr&gt;</v>
      </c>
    </row>
    <row r="236" spans="1:26" x14ac:dyDescent="0.3">
      <c r="A236" s="1" t="s">
        <v>13</v>
      </c>
      <c r="B236">
        <f>'Small Pricelist'!A235</f>
        <v>7638234</v>
      </c>
      <c r="C236" s="1" t="s">
        <v>14</v>
      </c>
      <c r="D236" t="str">
        <f>VLOOKUP(B236,'Small Pricelist'!A:L,2,0)</f>
        <v>HYUNDAI SERVO CRDi PREM.ENG.OIL 4X5L-HDP</v>
      </c>
      <c r="E236" s="1" t="s">
        <v>14</v>
      </c>
      <c r="F236">
        <f>VLOOKUP(B236,'Small Pricelist'!A:L,3,0)</f>
        <v>2100</v>
      </c>
      <c r="G236" s="1" t="s">
        <v>14</v>
      </c>
      <c r="H236">
        <f>VLOOKUP(B236,'Small Pricelist'!A:L,4,0)</f>
        <v>1729.14</v>
      </c>
      <c r="I236" s="1" t="s">
        <v>14</v>
      </c>
      <c r="J236">
        <f>VLOOKUP(B236,'Small Pricelist'!A:L,5,0)</f>
        <v>0</v>
      </c>
      <c r="K236" s="1" t="s">
        <v>14</v>
      </c>
      <c r="L236">
        <f>VLOOKUP(B236,'Small Pricelist'!A:L,6,0)</f>
        <v>0</v>
      </c>
      <c r="M236" s="1" t="s">
        <v>14</v>
      </c>
      <c r="N236">
        <f>VLOOKUP(B236,'Small Pricelist'!A:L,7,0)</f>
        <v>0</v>
      </c>
      <c r="O236" s="1" t="s">
        <v>14</v>
      </c>
      <c r="P236">
        <f>VLOOKUP(B236,'Small Pricelist'!A:L,8,0)</f>
        <v>1729.14</v>
      </c>
      <c r="Q236" s="1" t="s">
        <v>14</v>
      </c>
      <c r="R236">
        <f>VLOOKUP(B236,'Small Pricelist'!A:L,9,0)</f>
        <v>370.8599999999999</v>
      </c>
      <c r="S236" s="1" t="s">
        <v>14</v>
      </c>
      <c r="T236">
        <f>VLOOKUP(B236,'Small Pricelist'!A:L,10,0)</f>
        <v>74.171999999999969</v>
      </c>
      <c r="U236" s="1" t="s">
        <v>14</v>
      </c>
      <c r="V236">
        <f>VLOOKUP(B236,'Small Pricelist'!A:L,11,0)</f>
        <v>21.447656060238028</v>
      </c>
      <c r="W236" s="1" t="s">
        <v>14</v>
      </c>
      <c r="X236">
        <f>VLOOKUP(B236,'Small Pricelist'!A:L,12,0)</f>
        <v>6916.5600000000049</v>
      </c>
      <c r="Y236" s="1" t="s">
        <v>12</v>
      </c>
      <c r="Z236" s="25" t="str">
        <f t="shared" si="3"/>
        <v>&lt;tr&gt; &lt;td&gt;7638234&lt;/td&gt;&lt;td&gt;HYUNDAI SERVO CRDi PREM.ENG.OIL 4X5L-HDP&lt;/td&gt;&lt;td&gt;2100&lt;/td&gt;&lt;td&gt;1729.14&lt;/td&gt;&lt;td&gt;0&lt;/td&gt;&lt;td&gt;0&lt;/td&gt;&lt;td&gt;0&lt;/td&gt;&lt;td&gt;1729.14&lt;/td&gt;&lt;td&gt;370.86&lt;/td&gt;&lt;td&gt;74.172&lt;/td&gt;&lt;td&gt;21.447656060238&lt;/td&gt;&lt;td&gt;6916.56&lt;/td&gt;&lt;/tr&gt;</v>
      </c>
    </row>
    <row r="237" spans="1:26" x14ac:dyDescent="0.3">
      <c r="A237" s="1" t="s">
        <v>13</v>
      </c>
      <c r="B237">
        <f>'Small Pricelist'!A236</f>
        <v>7651265</v>
      </c>
      <c r="C237" s="1" t="s">
        <v>14</v>
      </c>
      <c r="D237" t="str">
        <f>VLOOKUP(B237,'Small Pricelist'!A:L,2,0)</f>
        <v>SERVO AGROSPRAY T - 20 L BUC</v>
      </c>
      <c r="E237" s="1" t="s">
        <v>14</v>
      </c>
      <c r="F237">
        <f>VLOOKUP(B237,'Small Pricelist'!A:L,3,0)</f>
        <v>6048</v>
      </c>
      <c r="G237" s="1" t="s">
        <v>14</v>
      </c>
      <c r="H237">
        <f>VLOOKUP(B237,'Small Pricelist'!A:L,4,0)</f>
        <v>4881.3407999999999</v>
      </c>
      <c r="I237" s="1" t="s">
        <v>14</v>
      </c>
      <c r="J237">
        <f>VLOOKUP(B237,'Small Pricelist'!A:L,5,0)</f>
        <v>0</v>
      </c>
      <c r="K237" s="1" t="s">
        <v>14</v>
      </c>
      <c r="L237">
        <f>VLOOKUP(B237,'Small Pricelist'!A:L,6,0)</f>
        <v>0</v>
      </c>
      <c r="M237" s="1" t="s">
        <v>14</v>
      </c>
      <c r="N237">
        <f>VLOOKUP(B237,'Small Pricelist'!A:L,7,0)</f>
        <v>0</v>
      </c>
      <c r="O237" s="1" t="s">
        <v>14</v>
      </c>
      <c r="P237">
        <f>VLOOKUP(B237,'Small Pricelist'!A:L,8,0)</f>
        <v>4881.3407999999999</v>
      </c>
      <c r="Q237" s="1" t="s">
        <v>14</v>
      </c>
      <c r="R237">
        <f>VLOOKUP(B237,'Small Pricelist'!A:L,9,0)</f>
        <v>1166.6592000000001</v>
      </c>
      <c r="S237" s="1" t="s">
        <v>14</v>
      </c>
      <c r="T237">
        <f>VLOOKUP(B237,'Small Pricelist'!A:L,10,0)</f>
        <v>58.332959999999986</v>
      </c>
      <c r="U237" s="1" t="s">
        <v>14</v>
      </c>
      <c r="V237">
        <f>VLOOKUP(B237,'Small Pricelist'!A:L,11,0)</f>
        <v>23.900384091190684</v>
      </c>
      <c r="W237" s="1" t="s">
        <v>14</v>
      </c>
      <c r="X237">
        <f>VLOOKUP(B237,'Small Pricelist'!A:L,12,0)</f>
        <v>4881.3408000000036</v>
      </c>
      <c r="Y237" s="1" t="s">
        <v>12</v>
      </c>
      <c r="Z237" s="25" t="str">
        <f t="shared" si="3"/>
        <v>&lt;tr&gt; &lt;td&gt;7651265&lt;/td&gt;&lt;td&gt;SERVO AGROSPRAY T - 20 L BUC&lt;/td&gt;&lt;td&gt;6048&lt;/td&gt;&lt;td&gt;4881.3408&lt;/td&gt;&lt;td&gt;0&lt;/td&gt;&lt;td&gt;0&lt;/td&gt;&lt;td&gt;0&lt;/td&gt;&lt;td&gt;4881.3408&lt;/td&gt;&lt;td&gt;1166.6592&lt;/td&gt;&lt;td&gt;58.33296&lt;/td&gt;&lt;td&gt;23.9003840911907&lt;/td&gt;&lt;td&gt;4881.3408&lt;/td&gt;&lt;/tr&gt;</v>
      </c>
    </row>
    <row r="238" spans="1:26" x14ac:dyDescent="0.3">
      <c r="A238" s="1" t="s">
        <v>13</v>
      </c>
      <c r="B238">
        <f>'Small Pricelist'!A237</f>
        <v>7670213</v>
      </c>
      <c r="C238" s="1" t="s">
        <v>14</v>
      </c>
      <c r="D238" t="str">
        <f>VLOOKUP(B238,'Small Pricelist'!A:L,2,0)</f>
        <v>MGDO 15W-40 - 4 X 3.5 L</v>
      </c>
      <c r="E238" s="1" t="s">
        <v>14</v>
      </c>
      <c r="F238">
        <f>VLOOKUP(B238,'Small Pricelist'!A:L,3,0)</f>
        <v>1215</v>
      </c>
      <c r="G238" s="1" t="s">
        <v>14</v>
      </c>
      <c r="H238">
        <f>VLOOKUP(B238,'Small Pricelist'!A:L,4,0)</f>
        <v>979.65449999999998</v>
      </c>
      <c r="I238" s="1" t="s">
        <v>14</v>
      </c>
      <c r="J238">
        <f>VLOOKUP(B238,'Small Pricelist'!A:L,5,0)</f>
        <v>14</v>
      </c>
      <c r="K238" s="1" t="s">
        <v>14</v>
      </c>
      <c r="L238">
        <f>VLOOKUP(B238,'Small Pricelist'!A:L,6,0)</f>
        <v>0</v>
      </c>
      <c r="M238" s="1" t="s">
        <v>14</v>
      </c>
      <c r="N238">
        <f>VLOOKUP(B238,'Small Pricelist'!A:L,7,0)</f>
        <v>0</v>
      </c>
      <c r="O238" s="1" t="s">
        <v>14</v>
      </c>
      <c r="P238">
        <f>VLOOKUP(B238,'Small Pricelist'!A:L,8,0)</f>
        <v>921.83449999999993</v>
      </c>
      <c r="Q238" s="1" t="s">
        <v>14</v>
      </c>
      <c r="R238">
        <f>VLOOKUP(B238,'Small Pricelist'!A:L,9,0)</f>
        <v>293.16550000000007</v>
      </c>
      <c r="S238" s="1" t="s">
        <v>14</v>
      </c>
      <c r="T238">
        <f>VLOOKUP(B238,'Small Pricelist'!A:L,10,0)</f>
        <v>83.761571428571472</v>
      </c>
      <c r="U238" s="1" t="s">
        <v>14</v>
      </c>
      <c r="V238">
        <f>VLOOKUP(B238,'Small Pricelist'!A:L,11,0)</f>
        <v>31.802400539359297</v>
      </c>
      <c r="W238" s="1" t="s">
        <v>14</v>
      </c>
      <c r="X238">
        <f>VLOOKUP(B238,'Small Pricelist'!A:L,12,0)</f>
        <v>3687.3380000000006</v>
      </c>
      <c r="Y238" s="1" t="s">
        <v>12</v>
      </c>
      <c r="Z238" s="25" t="str">
        <f t="shared" si="3"/>
        <v>&lt;tr&gt; &lt;td&gt;7670213&lt;/td&gt;&lt;td&gt;MGDO 15W-40 - 4 X 3.5 L&lt;/td&gt;&lt;td&gt;1215&lt;/td&gt;&lt;td&gt;979.6545&lt;/td&gt;&lt;td&gt;14&lt;/td&gt;&lt;td&gt;0&lt;/td&gt;&lt;td&gt;0&lt;/td&gt;&lt;td&gt;921.8345&lt;/td&gt;&lt;td&gt;293.1655&lt;/td&gt;&lt;td&gt;83.7615714285715&lt;/td&gt;&lt;td&gt;31.8024005393593&lt;/td&gt;&lt;td&gt;3687.338&lt;/td&gt;&lt;/tr&gt;</v>
      </c>
    </row>
    <row r="239" spans="1:26" x14ac:dyDescent="0.3">
      <c r="A239" s="1" t="s">
        <v>13</v>
      </c>
      <c r="B239">
        <f>'Small Pricelist'!A238</f>
        <v>7677184</v>
      </c>
      <c r="C239" s="1" t="s">
        <v>14</v>
      </c>
      <c r="D239" t="str">
        <f>VLOOKUP(B239,'Small Pricelist'!A:L,2,0)</f>
        <v>SERVO PRIDE ALT PLUS 15W-40 -20 X 1 L</v>
      </c>
      <c r="E239" s="1" t="s">
        <v>14</v>
      </c>
      <c r="F239">
        <f>VLOOKUP(B239,'Small Pricelist'!A:L,3,0)</f>
        <v>360</v>
      </c>
      <c r="G239" s="1" t="s">
        <v>14</v>
      </c>
      <c r="H239">
        <f>VLOOKUP(B239,'Small Pricelist'!A:L,4,0)</f>
        <v>306.28800000000001</v>
      </c>
      <c r="I239" s="1" t="s">
        <v>14</v>
      </c>
      <c r="J239">
        <f>VLOOKUP(B239,'Small Pricelist'!A:L,5,0)</f>
        <v>30</v>
      </c>
      <c r="K239" s="1" t="s">
        <v>14</v>
      </c>
      <c r="L239">
        <f>VLOOKUP(B239,'Small Pricelist'!A:L,6,0)</f>
        <v>0</v>
      </c>
      <c r="M239" s="1" t="s">
        <v>14</v>
      </c>
      <c r="N239">
        <f>VLOOKUP(B239,'Small Pricelist'!A:L,7,0)</f>
        <v>0</v>
      </c>
      <c r="O239" s="1" t="s">
        <v>14</v>
      </c>
      <c r="P239">
        <f>VLOOKUP(B239,'Small Pricelist'!A:L,8,0)</f>
        <v>270.88800000000003</v>
      </c>
      <c r="Q239" s="1" t="s">
        <v>14</v>
      </c>
      <c r="R239">
        <f>VLOOKUP(B239,'Small Pricelist'!A:L,9,0)</f>
        <v>89.111999999999966</v>
      </c>
      <c r="S239" s="1" t="s">
        <v>14</v>
      </c>
      <c r="T239">
        <f>VLOOKUP(B239,'Small Pricelist'!A:L,10,0)</f>
        <v>89.111999999999966</v>
      </c>
      <c r="U239" s="1" t="s">
        <v>14</v>
      </c>
      <c r="V239">
        <f>VLOOKUP(B239,'Small Pricelist'!A:L,11,0)</f>
        <v>32.896252325684401</v>
      </c>
      <c r="W239" s="1" t="s">
        <v>14</v>
      </c>
      <c r="X239">
        <f>VLOOKUP(B239,'Small Pricelist'!A:L,12,0)</f>
        <v>5417.7600000000048</v>
      </c>
      <c r="Y239" s="1" t="s">
        <v>12</v>
      </c>
      <c r="Z239" s="25" t="str">
        <f t="shared" si="3"/>
        <v>&lt;tr&gt; &lt;td&gt;7677184&lt;/td&gt;&lt;td&gt;SERVO PRIDE ALT PLUS 15W-40 -20 X 1 L&lt;/td&gt;&lt;td&gt;360&lt;/td&gt;&lt;td&gt;306.288&lt;/td&gt;&lt;td&gt;30&lt;/td&gt;&lt;td&gt;0&lt;/td&gt;&lt;td&gt;0&lt;/td&gt;&lt;td&gt;270.888&lt;/td&gt;&lt;td&gt;89.112&lt;/td&gt;&lt;td&gt;89.112&lt;/td&gt;&lt;td&gt;32.8962523256844&lt;/td&gt;&lt;td&gt;5417.76&lt;/td&gt;&lt;/tr&gt;</v>
      </c>
    </row>
    <row r="240" spans="1:26" x14ac:dyDescent="0.3">
      <c r="A240" s="1" t="s">
        <v>13</v>
      </c>
      <c r="B240">
        <f>'Small Pricelist'!A239</f>
        <v>7677282</v>
      </c>
      <c r="C240" s="1" t="s">
        <v>14</v>
      </c>
      <c r="D240" t="str">
        <f>VLOOKUP(B240,'Small Pricelist'!A:L,2,0)</f>
        <v>SERVO PRIDE ALT PLUS 15W-40-11 L</v>
      </c>
      <c r="E240" s="1" t="s">
        <v>14</v>
      </c>
      <c r="F240">
        <f>VLOOKUP(B240,'Small Pricelist'!A:L,3,0)</f>
        <v>3800</v>
      </c>
      <c r="G240" s="1" t="s">
        <v>14</v>
      </c>
      <c r="H240">
        <f>VLOOKUP(B240,'Small Pricelist'!A:L,4,0)</f>
        <v>3319.3</v>
      </c>
      <c r="I240" s="1" t="s">
        <v>14</v>
      </c>
      <c r="J240">
        <f>VLOOKUP(B240,'Small Pricelist'!A:L,5,0)</f>
        <v>30</v>
      </c>
      <c r="K240" s="1" t="s">
        <v>14</v>
      </c>
      <c r="L240">
        <f>VLOOKUP(B240,'Small Pricelist'!A:L,6,0)</f>
        <v>0</v>
      </c>
      <c r="M240" s="1" t="s">
        <v>14</v>
      </c>
      <c r="N240">
        <f>VLOOKUP(B240,'Small Pricelist'!A:L,7,0)</f>
        <v>0</v>
      </c>
      <c r="O240" s="1" t="s">
        <v>14</v>
      </c>
      <c r="P240">
        <f>VLOOKUP(B240,'Small Pricelist'!A:L,8,0)</f>
        <v>2929.9000000000005</v>
      </c>
      <c r="Q240" s="1" t="s">
        <v>14</v>
      </c>
      <c r="R240">
        <f>VLOOKUP(B240,'Small Pricelist'!A:L,9,0)</f>
        <v>870.09999999999945</v>
      </c>
      <c r="S240" s="1" t="s">
        <v>14</v>
      </c>
      <c r="T240">
        <f>VLOOKUP(B240,'Small Pricelist'!A:L,10,0)</f>
        <v>79.099999999999909</v>
      </c>
      <c r="U240" s="1" t="s">
        <v>14</v>
      </c>
      <c r="V240">
        <f>VLOOKUP(B240,'Small Pricelist'!A:L,11,0)</f>
        <v>29.697259292125988</v>
      </c>
      <c r="W240" s="1" t="s">
        <v>14</v>
      </c>
      <c r="X240">
        <f>VLOOKUP(B240,'Small Pricelist'!A:L,12,0)</f>
        <v>2929.9000000000005</v>
      </c>
      <c r="Y240" s="1" t="s">
        <v>12</v>
      </c>
      <c r="Z240" s="25" t="str">
        <f t="shared" si="3"/>
        <v>&lt;tr&gt; &lt;td&gt;7677282&lt;/td&gt;&lt;td&gt;SERVO PRIDE ALT PLUS 15W-40-11 L&lt;/td&gt;&lt;td&gt;3800&lt;/td&gt;&lt;td&gt;3319.3&lt;/td&gt;&lt;td&gt;30&lt;/td&gt;&lt;td&gt;0&lt;/td&gt;&lt;td&gt;0&lt;/td&gt;&lt;td&gt;2929.9&lt;/td&gt;&lt;td&gt;870.099999999999&lt;/td&gt;&lt;td&gt;79.0999999999999&lt;/td&gt;&lt;td&gt;29.697259292126&lt;/td&gt;&lt;td&gt;2929.9&lt;/td&gt;&lt;/tr&gt;</v>
      </c>
    </row>
    <row r="241" spans="1:26" x14ac:dyDescent="0.3">
      <c r="A241" s="1" t="s">
        <v>13</v>
      </c>
      <c r="B241">
        <f>'Small Pricelist'!A240</f>
        <v>7677283</v>
      </c>
      <c r="C241" s="1" t="s">
        <v>14</v>
      </c>
      <c r="D241" t="str">
        <f>VLOOKUP(B241,'Small Pricelist'!A:L,2,0)</f>
        <v>SERVO PRIDE ALT PLUS 15W-40-16 L</v>
      </c>
      <c r="E241" s="1" t="s">
        <v>14</v>
      </c>
      <c r="F241">
        <f>VLOOKUP(B241,'Small Pricelist'!A:L,3,0)</f>
        <v>5500</v>
      </c>
      <c r="G241" s="1" t="s">
        <v>14</v>
      </c>
      <c r="H241">
        <f>VLOOKUP(B241,'Small Pricelist'!A:L,4,0)</f>
        <v>4788.3</v>
      </c>
      <c r="I241" s="1" t="s">
        <v>14</v>
      </c>
      <c r="J241">
        <f>VLOOKUP(B241,'Small Pricelist'!A:L,5,0)</f>
        <v>30</v>
      </c>
      <c r="K241" s="1" t="s">
        <v>14</v>
      </c>
      <c r="L241">
        <f>VLOOKUP(B241,'Small Pricelist'!A:L,6,0)</f>
        <v>0</v>
      </c>
      <c r="M241" s="1" t="s">
        <v>14</v>
      </c>
      <c r="N241">
        <f>VLOOKUP(B241,'Small Pricelist'!A:L,7,0)</f>
        <v>0</v>
      </c>
      <c r="O241" s="1" t="s">
        <v>14</v>
      </c>
      <c r="P241">
        <f>VLOOKUP(B241,'Small Pricelist'!A:L,8,0)</f>
        <v>4221.9000000000005</v>
      </c>
      <c r="Q241" s="1" t="s">
        <v>14</v>
      </c>
      <c r="R241">
        <f>VLOOKUP(B241,'Small Pricelist'!A:L,9,0)</f>
        <v>1278.0999999999995</v>
      </c>
      <c r="S241" s="1" t="s">
        <v>14</v>
      </c>
      <c r="T241">
        <f>VLOOKUP(B241,'Small Pricelist'!A:L,10,0)</f>
        <v>79.881249999999966</v>
      </c>
      <c r="U241" s="1" t="s">
        <v>14</v>
      </c>
      <c r="V241">
        <f>VLOOKUP(B241,'Small Pricelist'!A:L,11,0)</f>
        <v>30.273099789194426</v>
      </c>
      <c r="W241" s="1" t="s">
        <v>14</v>
      </c>
      <c r="X241">
        <f>VLOOKUP(B241,'Small Pricelist'!A:L,12,0)</f>
        <v>4221.9000000000005</v>
      </c>
      <c r="Y241" s="1" t="s">
        <v>12</v>
      </c>
      <c r="Z241" s="25" t="str">
        <f t="shared" si="3"/>
        <v>&lt;tr&gt; &lt;td&gt;7677283&lt;/td&gt;&lt;td&gt;SERVO PRIDE ALT PLUS 15W-40-16 L&lt;/td&gt;&lt;td&gt;5500&lt;/td&gt;&lt;td&gt;4788.3&lt;/td&gt;&lt;td&gt;30&lt;/td&gt;&lt;td&gt;0&lt;/td&gt;&lt;td&gt;0&lt;/td&gt;&lt;td&gt;4221.9&lt;/td&gt;&lt;td&gt;1278.1&lt;/td&gt;&lt;td&gt;79.88125&lt;/td&gt;&lt;td&gt;30.2730997891944&lt;/td&gt;&lt;td&gt;4221.9&lt;/td&gt;&lt;/tr&gt;</v>
      </c>
    </row>
    <row r="242" spans="1:26" x14ac:dyDescent="0.3">
      <c r="A242" s="1" t="s">
        <v>13</v>
      </c>
      <c r="B242">
        <f>'Small Pricelist'!A241</f>
        <v>7688203</v>
      </c>
      <c r="C242" s="1" t="s">
        <v>14</v>
      </c>
      <c r="D242" t="str">
        <f>VLOOKUP(B242,'Small Pricelist'!A:L,2,0)</f>
        <v>MGO 5W-30-4 X 3 L</v>
      </c>
      <c r="E242" s="1" t="s">
        <v>14</v>
      </c>
      <c r="F242">
        <f>VLOOKUP(B242,'Small Pricelist'!A:L,3,0)</f>
        <v>1077</v>
      </c>
      <c r="G242" s="1" t="s">
        <v>14</v>
      </c>
      <c r="H242">
        <f>VLOOKUP(B242,'Small Pricelist'!A:L,4,0)</f>
        <v>857.29199999999992</v>
      </c>
      <c r="I242" s="1" t="s">
        <v>14</v>
      </c>
      <c r="J242">
        <f>VLOOKUP(B242,'Small Pricelist'!A:L,5,0)</f>
        <v>8</v>
      </c>
      <c r="K242" s="1" t="s">
        <v>14</v>
      </c>
      <c r="L242">
        <f>VLOOKUP(B242,'Small Pricelist'!A:L,6,0)</f>
        <v>0</v>
      </c>
      <c r="M242" s="1" t="s">
        <v>14</v>
      </c>
      <c r="N242">
        <f>VLOOKUP(B242,'Small Pricelist'!A:L,7,0)</f>
        <v>0</v>
      </c>
      <c r="O242" s="1" t="s">
        <v>14</v>
      </c>
      <c r="P242">
        <f>VLOOKUP(B242,'Small Pricelist'!A:L,8,0)</f>
        <v>828.97199999999987</v>
      </c>
      <c r="Q242" s="1" t="s">
        <v>14</v>
      </c>
      <c r="R242">
        <f>VLOOKUP(B242,'Small Pricelist'!A:L,9,0)</f>
        <v>248.02800000000013</v>
      </c>
      <c r="S242" s="1" t="s">
        <v>14</v>
      </c>
      <c r="T242">
        <f>VLOOKUP(B242,'Small Pricelist'!A:L,10,0)</f>
        <v>82.676000000000045</v>
      </c>
      <c r="U242" s="1" t="s">
        <v>14</v>
      </c>
      <c r="V242">
        <f>VLOOKUP(B242,'Small Pricelist'!A:L,11,0)</f>
        <v>29.919949045323623</v>
      </c>
      <c r="W242" s="1" t="s">
        <v>14</v>
      </c>
      <c r="X242">
        <f>VLOOKUP(B242,'Small Pricelist'!A:L,12,0)</f>
        <v>3315.8880000000008</v>
      </c>
      <c r="Y242" s="1" t="s">
        <v>12</v>
      </c>
      <c r="Z242" s="25" t="str">
        <f t="shared" si="3"/>
        <v>&lt;tr&gt; &lt;td&gt;7688203&lt;/td&gt;&lt;td&gt;MGO 5W-30-4 X 3 L&lt;/td&gt;&lt;td&gt;1077&lt;/td&gt;&lt;td&gt;857.292&lt;/td&gt;&lt;td&gt;8&lt;/td&gt;&lt;td&gt;0&lt;/td&gt;&lt;td&gt;0&lt;/td&gt;&lt;td&gt;828.972&lt;/td&gt;&lt;td&gt;248.028&lt;/td&gt;&lt;td&gt;82.676&lt;/td&gt;&lt;td&gt;29.9199490453236&lt;/td&gt;&lt;td&gt;3315.888&lt;/td&gt;&lt;/tr&gt;</v>
      </c>
    </row>
    <row r="243" spans="1:26" x14ac:dyDescent="0.3">
      <c r="A243" s="1" t="s">
        <v>13</v>
      </c>
      <c r="B243">
        <f>'Small Pricelist'!A242</f>
        <v>7688213</v>
      </c>
      <c r="C243" s="1" t="s">
        <v>14</v>
      </c>
      <c r="D243" t="str">
        <f>VLOOKUP(B243,'Small Pricelist'!A:L,2,0)</f>
        <v>MGO 5W-30-4x3.5L HDPE</v>
      </c>
      <c r="E243" s="1" t="s">
        <v>14</v>
      </c>
      <c r="F243">
        <f>VLOOKUP(B243,'Small Pricelist'!A:L,3,0)</f>
        <v>1257</v>
      </c>
      <c r="G243" s="1" t="s">
        <v>14</v>
      </c>
      <c r="H243">
        <f>VLOOKUP(B243,'Small Pricelist'!A:L,4,0)</f>
        <v>1000.8234000000001</v>
      </c>
      <c r="I243" s="1" t="s">
        <v>14</v>
      </c>
      <c r="J243">
        <f>VLOOKUP(B243,'Small Pricelist'!A:L,5,0)</f>
        <v>8</v>
      </c>
      <c r="K243" s="1" t="s">
        <v>14</v>
      </c>
      <c r="L243">
        <f>VLOOKUP(B243,'Small Pricelist'!A:L,6,0)</f>
        <v>0</v>
      </c>
      <c r="M243" s="1" t="s">
        <v>14</v>
      </c>
      <c r="N243">
        <f>VLOOKUP(B243,'Small Pricelist'!A:L,7,0)</f>
        <v>0</v>
      </c>
      <c r="O243" s="1" t="s">
        <v>14</v>
      </c>
      <c r="P243">
        <f>VLOOKUP(B243,'Small Pricelist'!A:L,8,0)</f>
        <v>967.78340000000014</v>
      </c>
      <c r="Q243" s="1" t="s">
        <v>14</v>
      </c>
      <c r="R243">
        <f>VLOOKUP(B243,'Small Pricelist'!A:L,9,0)</f>
        <v>289.21659999999986</v>
      </c>
      <c r="S243" s="1" t="s">
        <v>14</v>
      </c>
      <c r="T243">
        <f>VLOOKUP(B243,'Small Pricelist'!A:L,10,0)</f>
        <v>82.633314285714278</v>
      </c>
      <c r="U243" s="1" t="s">
        <v>14</v>
      </c>
      <c r="V243">
        <f>VLOOKUP(B243,'Small Pricelist'!A:L,11,0)</f>
        <v>29.884434884913279</v>
      </c>
      <c r="W243" s="1" t="s">
        <v>14</v>
      </c>
      <c r="X243">
        <f>VLOOKUP(B243,'Small Pricelist'!A:L,12,0)</f>
        <v>3871.1336000000015</v>
      </c>
      <c r="Y243" s="1" t="s">
        <v>12</v>
      </c>
      <c r="Z243" s="25" t="str">
        <f t="shared" si="3"/>
        <v>&lt;tr&gt; &lt;td&gt;7688213&lt;/td&gt;&lt;td&gt;MGO 5W-30-4x3.5L HDPE&lt;/td&gt;&lt;td&gt;1257&lt;/td&gt;&lt;td&gt;1000.8234&lt;/td&gt;&lt;td&gt;8&lt;/td&gt;&lt;td&gt;0&lt;/td&gt;&lt;td&gt;0&lt;/td&gt;&lt;td&gt;967.7834&lt;/td&gt;&lt;td&gt;289.2166&lt;/td&gt;&lt;td&gt;82.6333142857143&lt;/td&gt;&lt;td&gt;29.8844348849133&lt;/td&gt;&lt;td&gt;3871.1336&lt;/td&gt;&lt;/tr&gt;</v>
      </c>
    </row>
    <row r="244" spans="1:26" x14ac:dyDescent="0.3">
      <c r="A244" s="1" t="s">
        <v>13</v>
      </c>
      <c r="B244">
        <f>'Small Pricelist'!A243</f>
        <v>7701341</v>
      </c>
      <c r="C244" s="1" t="s">
        <v>14</v>
      </c>
      <c r="D244" t="str">
        <f>VLOOKUP(B244,'Small Pricelist'!A:L,2,0)</f>
        <v>SERVO GREASE MP-20 KG BUC</v>
      </c>
      <c r="E244" s="1" t="s">
        <v>14</v>
      </c>
      <c r="F244">
        <f>VLOOKUP(B244,'Small Pricelist'!A:L,3,0)</f>
        <v>7229</v>
      </c>
      <c r="G244" s="1" t="s">
        <v>14</v>
      </c>
      <c r="H244">
        <f>VLOOKUP(B244,'Small Pricelist'!A:L,4,0)</f>
        <v>6243.6872999999996</v>
      </c>
      <c r="I244" s="1" t="s">
        <v>14</v>
      </c>
      <c r="J244">
        <f>VLOOKUP(B244,'Small Pricelist'!A:L,5,0)</f>
        <v>26</v>
      </c>
      <c r="K244" s="1" t="s">
        <v>14</v>
      </c>
      <c r="L244">
        <f>VLOOKUP(B244,'Small Pricelist'!A:L,6,0)</f>
        <v>0</v>
      </c>
      <c r="M244" s="1" t="s">
        <v>14</v>
      </c>
      <c r="N244">
        <f>VLOOKUP(B244,'Small Pricelist'!A:L,7,0)</f>
        <v>0</v>
      </c>
      <c r="O244" s="1" t="s">
        <v>14</v>
      </c>
      <c r="P244">
        <f>VLOOKUP(B244,'Small Pricelist'!A:L,8,0)</f>
        <v>5630.0872999999992</v>
      </c>
      <c r="Q244" s="1" t="s">
        <v>14</v>
      </c>
      <c r="R244">
        <f>VLOOKUP(B244,'Small Pricelist'!A:L,9,0)</f>
        <v>1598.9127000000008</v>
      </c>
      <c r="S244" s="1" t="s">
        <v>14</v>
      </c>
      <c r="T244">
        <f>VLOOKUP(B244,'Small Pricelist'!A:L,10,0)</f>
        <v>79.945635000000038</v>
      </c>
      <c r="U244" s="1" t="s">
        <v>14</v>
      </c>
      <c r="V244">
        <f>VLOOKUP(B244,'Small Pricelist'!A:L,11,0)</f>
        <v>28.39942996976265</v>
      </c>
      <c r="W244" s="1" t="s">
        <v>14</v>
      </c>
      <c r="X244">
        <f>VLOOKUP(B244,'Small Pricelist'!A:L,12,0)</f>
        <v>5630.087300000002</v>
      </c>
      <c r="Y244" s="1" t="s">
        <v>12</v>
      </c>
      <c r="Z244" s="25" t="str">
        <f t="shared" si="3"/>
        <v>&lt;tr&gt; &lt;td&gt;7701341&lt;/td&gt;&lt;td&gt;SERVO GREASE MP-20 KG BUC&lt;/td&gt;&lt;td&gt;7229&lt;/td&gt;&lt;td&gt;6243.6873&lt;/td&gt;&lt;td&gt;26&lt;/td&gt;&lt;td&gt;0&lt;/td&gt;&lt;td&gt;0&lt;/td&gt;&lt;td&gt;5630.0873&lt;/td&gt;&lt;td&gt;1598.9127&lt;/td&gt;&lt;td&gt;79.945635&lt;/td&gt;&lt;td&gt;28.3994299697627&lt;/td&gt;&lt;td&gt;5630.0873&lt;/td&gt;&lt;/tr&gt;</v>
      </c>
    </row>
    <row r="245" spans="1:26" x14ac:dyDescent="0.3">
      <c r="A245" s="1" t="s">
        <v>13</v>
      </c>
      <c r="B245">
        <f>'Small Pricelist'!A244</f>
        <v>7705303</v>
      </c>
      <c r="C245" s="1" t="s">
        <v>14</v>
      </c>
      <c r="D245" t="str">
        <f>VLOOKUP(B245,'Small Pricelist'!A:L,2,0)</f>
        <v>SERVO GREASE MP 3 - 20 X 1/2 KG CTN</v>
      </c>
      <c r="E245" s="1" t="s">
        <v>14</v>
      </c>
      <c r="F245">
        <f>VLOOKUP(B245,'Small Pricelist'!A:L,3,0)</f>
        <v>253</v>
      </c>
      <c r="G245" s="1" t="s">
        <v>14</v>
      </c>
      <c r="H245">
        <f>VLOOKUP(B245,'Small Pricelist'!A:L,4,0)</f>
        <v>199.21219999999997</v>
      </c>
      <c r="I245" s="1" t="s">
        <v>14</v>
      </c>
      <c r="J245">
        <f>VLOOKUP(B245,'Small Pricelist'!A:L,5,0)</f>
        <v>45</v>
      </c>
      <c r="K245" s="1" t="s">
        <v>14</v>
      </c>
      <c r="L245">
        <f>VLOOKUP(B245,'Small Pricelist'!A:L,6,0)</f>
        <v>0</v>
      </c>
      <c r="M245" s="1" t="s">
        <v>14</v>
      </c>
      <c r="N245">
        <f>VLOOKUP(B245,'Small Pricelist'!A:L,7,0)</f>
        <v>0</v>
      </c>
      <c r="O245" s="1" t="s">
        <v>14</v>
      </c>
      <c r="P245">
        <f>VLOOKUP(B245,'Small Pricelist'!A:L,8,0)</f>
        <v>172.66219999999996</v>
      </c>
      <c r="Q245" s="1" t="s">
        <v>14</v>
      </c>
      <c r="R245">
        <f>VLOOKUP(B245,'Small Pricelist'!A:L,9,0)</f>
        <v>80.337800000000044</v>
      </c>
      <c r="S245" s="1" t="s">
        <v>14</v>
      </c>
      <c r="T245">
        <f>VLOOKUP(B245,'Small Pricelist'!A:L,10,0)</f>
        <v>160.67560000000009</v>
      </c>
      <c r="U245" s="1" t="s">
        <v>14</v>
      </c>
      <c r="V245">
        <f>VLOOKUP(B245,'Small Pricelist'!A:L,11,0)</f>
        <v>46.528887040707268</v>
      </c>
      <c r="W245" s="1" t="s">
        <v>14</v>
      </c>
      <c r="X245">
        <f>VLOOKUP(B245,'Small Pricelist'!A:L,12,0)</f>
        <v>3453.2439999999983</v>
      </c>
      <c r="Y245" s="1" t="s">
        <v>12</v>
      </c>
      <c r="Z245" s="25" t="str">
        <f t="shared" si="3"/>
        <v>&lt;tr&gt; &lt;td&gt;7705303&lt;/td&gt;&lt;td&gt;SERVO GREASE MP 3 - 20 X 1/2 KG CTN&lt;/td&gt;&lt;td&gt;253&lt;/td&gt;&lt;td&gt;199.2122&lt;/td&gt;&lt;td&gt;45&lt;/td&gt;&lt;td&gt;0&lt;/td&gt;&lt;td&gt;0&lt;/td&gt;&lt;td&gt;172.6622&lt;/td&gt;&lt;td&gt;80.3378&lt;/td&gt;&lt;td&gt;160.6756&lt;/td&gt;&lt;td&gt;46.5288870407073&lt;/td&gt;&lt;td&gt;3453.244&lt;/td&gt;&lt;/tr&gt;</v>
      </c>
    </row>
    <row r="246" spans="1:26" x14ac:dyDescent="0.3">
      <c r="A246" s="1" t="s">
        <v>13</v>
      </c>
      <c r="B246">
        <f>'Small Pricelist'!A245</f>
        <v>7705313</v>
      </c>
      <c r="C246" s="1" t="s">
        <v>14</v>
      </c>
      <c r="D246" t="str">
        <f>VLOOKUP(B246,'Small Pricelist'!A:L,2,0)</f>
        <v>SERVO GREASE MP 3 - 10 X 1 KG CTN</v>
      </c>
      <c r="E246" s="1" t="s">
        <v>14</v>
      </c>
      <c r="F246">
        <f>VLOOKUP(B246,'Small Pricelist'!A:L,3,0)</f>
        <v>495</v>
      </c>
      <c r="G246" s="1" t="s">
        <v>14</v>
      </c>
      <c r="H246">
        <f>VLOOKUP(B246,'Small Pricelist'!A:L,4,0)</f>
        <v>397.03949999999998</v>
      </c>
      <c r="I246" s="1" t="s">
        <v>14</v>
      </c>
      <c r="J246">
        <f>VLOOKUP(B246,'Small Pricelist'!A:L,5,0)</f>
        <v>45</v>
      </c>
      <c r="K246" s="1" t="s">
        <v>14</v>
      </c>
      <c r="L246">
        <f>VLOOKUP(B246,'Small Pricelist'!A:L,6,0)</f>
        <v>0</v>
      </c>
      <c r="M246" s="1" t="s">
        <v>14</v>
      </c>
      <c r="N246">
        <f>VLOOKUP(B246,'Small Pricelist'!A:L,7,0)</f>
        <v>0</v>
      </c>
      <c r="O246" s="1" t="s">
        <v>14</v>
      </c>
      <c r="P246">
        <f>VLOOKUP(B246,'Small Pricelist'!A:L,8,0)</f>
        <v>343.93950000000001</v>
      </c>
      <c r="Q246" s="1" t="s">
        <v>14</v>
      </c>
      <c r="R246">
        <f>VLOOKUP(B246,'Small Pricelist'!A:L,9,0)</f>
        <v>151.06049999999999</v>
      </c>
      <c r="S246" s="1" t="s">
        <v>14</v>
      </c>
      <c r="T246">
        <f>VLOOKUP(B246,'Small Pricelist'!A:L,10,0)</f>
        <v>151.06049999999999</v>
      </c>
      <c r="U246" s="1" t="s">
        <v>14</v>
      </c>
      <c r="V246">
        <f>VLOOKUP(B246,'Small Pricelist'!A:L,11,0)</f>
        <v>43.920660464994569</v>
      </c>
      <c r="W246" s="1" t="s">
        <v>14</v>
      </c>
      <c r="X246">
        <f>VLOOKUP(B246,'Small Pricelist'!A:L,12,0)</f>
        <v>3439.395</v>
      </c>
      <c r="Y246" s="1" t="s">
        <v>12</v>
      </c>
      <c r="Z246" s="25" t="str">
        <f t="shared" si="3"/>
        <v>&lt;tr&gt; &lt;td&gt;7705313&lt;/td&gt;&lt;td&gt;SERVO GREASE MP 3 - 10 X 1 KG CTN&lt;/td&gt;&lt;td&gt;495&lt;/td&gt;&lt;td&gt;397.0395&lt;/td&gt;&lt;td&gt;45&lt;/td&gt;&lt;td&gt;0&lt;/td&gt;&lt;td&gt;0&lt;/td&gt;&lt;td&gt;343.9395&lt;/td&gt;&lt;td&gt;151.0605&lt;/td&gt;&lt;td&gt;151.0605&lt;/td&gt;&lt;td&gt;43.9206604649946&lt;/td&gt;&lt;td&gt;3439.395&lt;/td&gt;&lt;/tr&gt;</v>
      </c>
    </row>
    <row r="247" spans="1:26" x14ac:dyDescent="0.3">
      <c r="A247" s="1" t="s">
        <v>13</v>
      </c>
      <c r="B247">
        <f>'Small Pricelist'!A246</f>
        <v>7705327</v>
      </c>
      <c r="C247" s="1" t="s">
        <v>14</v>
      </c>
      <c r="D247" t="str">
        <f>VLOOKUP(B247,'Small Pricelist'!A:L,2,0)</f>
        <v>SERVOGREASE MP 3-6X2 KG</v>
      </c>
      <c r="E247" s="1" t="s">
        <v>14</v>
      </c>
      <c r="F247">
        <f>VLOOKUP(B247,'Small Pricelist'!A:L,3,0)</f>
        <v>930</v>
      </c>
      <c r="G247" s="1" t="s">
        <v>14</v>
      </c>
      <c r="H247">
        <f>VLOOKUP(B247,'Small Pricelist'!A:L,4,0)</f>
        <v>782.22300000000007</v>
      </c>
      <c r="I247" s="1" t="s">
        <v>14</v>
      </c>
      <c r="J247">
        <f>VLOOKUP(B247,'Small Pricelist'!A:L,5,0)</f>
        <v>45</v>
      </c>
      <c r="K247" s="1" t="s">
        <v>14</v>
      </c>
      <c r="L247">
        <f>VLOOKUP(B247,'Small Pricelist'!A:L,6,0)</f>
        <v>0</v>
      </c>
      <c r="M247" s="1" t="s">
        <v>14</v>
      </c>
      <c r="N247">
        <f>VLOOKUP(B247,'Small Pricelist'!A:L,7,0)</f>
        <v>0</v>
      </c>
      <c r="O247" s="1" t="s">
        <v>14</v>
      </c>
      <c r="P247">
        <f>VLOOKUP(B247,'Small Pricelist'!A:L,8,0)</f>
        <v>676.02300000000014</v>
      </c>
      <c r="Q247" s="1" t="s">
        <v>14</v>
      </c>
      <c r="R247">
        <f>VLOOKUP(B247,'Small Pricelist'!A:L,9,0)</f>
        <v>253.97699999999986</v>
      </c>
      <c r="S247" s="1" t="s">
        <v>14</v>
      </c>
      <c r="T247">
        <f>VLOOKUP(B247,'Small Pricelist'!A:L,10,0)</f>
        <v>126.98849999999993</v>
      </c>
      <c r="U247" s="1" t="s">
        <v>14</v>
      </c>
      <c r="V247">
        <f>VLOOKUP(B247,'Small Pricelist'!A:L,11,0)</f>
        <v>37.569283885311563</v>
      </c>
      <c r="W247" s="1" t="s">
        <v>14</v>
      </c>
      <c r="X247">
        <f>VLOOKUP(B247,'Small Pricelist'!A:L,12,0)</f>
        <v>4056.1380000000022</v>
      </c>
      <c r="Y247" s="1" t="s">
        <v>12</v>
      </c>
      <c r="Z247" s="25" t="str">
        <f t="shared" si="3"/>
        <v>&lt;tr&gt; &lt;td&gt;7705327&lt;/td&gt;&lt;td&gt;SERVOGREASE MP 3-6X2 KG&lt;/td&gt;&lt;td&gt;930&lt;/td&gt;&lt;td&gt;782.223&lt;/td&gt;&lt;td&gt;45&lt;/td&gt;&lt;td&gt;0&lt;/td&gt;&lt;td&gt;0&lt;/td&gt;&lt;td&gt;676.023&lt;/td&gt;&lt;td&gt;253.977&lt;/td&gt;&lt;td&gt;126.9885&lt;/td&gt;&lt;td&gt;37.5692838853116&lt;/td&gt;&lt;td&gt;4056.138&lt;/td&gt;&lt;/tr&gt;</v>
      </c>
    </row>
    <row r="248" spans="1:26" x14ac:dyDescent="0.3">
      <c r="A248" s="1" t="s">
        <v>13</v>
      </c>
      <c r="B248">
        <f>'Small Pricelist'!A247</f>
        <v>7705337</v>
      </c>
      <c r="C248" s="1" t="s">
        <v>14</v>
      </c>
      <c r="D248" t="str">
        <f>VLOOKUP(B248,'Small Pricelist'!A:L,2,0)</f>
        <v>SERVOGREASE MP 3-4X3 KG</v>
      </c>
      <c r="E248" s="1" t="s">
        <v>14</v>
      </c>
      <c r="F248">
        <f>VLOOKUP(B248,'Small Pricelist'!A:L,3,0)</f>
        <v>1370</v>
      </c>
      <c r="G248" s="1" t="s">
        <v>14</v>
      </c>
      <c r="H248">
        <f>VLOOKUP(B248,'Small Pricelist'!A:L,4,0)</f>
        <v>1161.075</v>
      </c>
      <c r="I248" s="1" t="s">
        <v>14</v>
      </c>
      <c r="J248">
        <f>VLOOKUP(B248,'Small Pricelist'!A:L,5,0)</f>
        <v>45</v>
      </c>
      <c r="K248" s="1" t="s">
        <v>14</v>
      </c>
      <c r="L248">
        <f>VLOOKUP(B248,'Small Pricelist'!A:L,6,0)</f>
        <v>0</v>
      </c>
      <c r="M248" s="1" t="s">
        <v>14</v>
      </c>
      <c r="N248">
        <f>VLOOKUP(B248,'Small Pricelist'!A:L,7,0)</f>
        <v>0</v>
      </c>
      <c r="O248" s="1" t="s">
        <v>14</v>
      </c>
      <c r="P248">
        <f>VLOOKUP(B248,'Small Pricelist'!A:L,8,0)</f>
        <v>1001.7750000000001</v>
      </c>
      <c r="Q248" s="1" t="s">
        <v>14</v>
      </c>
      <c r="R248">
        <f>VLOOKUP(B248,'Small Pricelist'!A:L,9,0)</f>
        <v>368.22499999999991</v>
      </c>
      <c r="S248" s="1" t="s">
        <v>14</v>
      </c>
      <c r="T248">
        <f>VLOOKUP(B248,'Small Pricelist'!A:L,10,0)</f>
        <v>122.74166666666667</v>
      </c>
      <c r="U248" s="1" t="s">
        <v>14</v>
      </c>
      <c r="V248">
        <f>VLOOKUP(B248,'Small Pricelist'!A:L,11,0)</f>
        <v>36.757255870829262</v>
      </c>
      <c r="W248" s="1" t="s">
        <v>14</v>
      </c>
      <c r="X248">
        <f>VLOOKUP(B248,'Small Pricelist'!A:L,12,0)</f>
        <v>4007.1</v>
      </c>
      <c r="Y248" s="1" t="s">
        <v>12</v>
      </c>
      <c r="Z248" s="25" t="str">
        <f t="shared" si="3"/>
        <v>&lt;tr&gt; &lt;td&gt;7705337&lt;/td&gt;&lt;td&gt;SERVOGREASE MP 3-4X3 KG&lt;/td&gt;&lt;td&gt;1370&lt;/td&gt;&lt;td&gt;1161.075&lt;/td&gt;&lt;td&gt;45&lt;/td&gt;&lt;td&gt;0&lt;/td&gt;&lt;td&gt;0&lt;/td&gt;&lt;td&gt;1001.775&lt;/td&gt;&lt;td&gt;368.225&lt;/td&gt;&lt;td&gt;122.741666666667&lt;/td&gt;&lt;td&gt;36.7572558708293&lt;/td&gt;&lt;td&gt;4007.1&lt;/td&gt;&lt;/tr&gt;</v>
      </c>
    </row>
    <row r="249" spans="1:26" x14ac:dyDescent="0.3">
      <c r="A249" s="1" t="s">
        <v>13</v>
      </c>
      <c r="B249">
        <f>'Small Pricelist'!A248</f>
        <v>7705339</v>
      </c>
      <c r="C249" s="1" t="s">
        <v>14</v>
      </c>
      <c r="D249" t="str">
        <f>VLOOKUP(B249,'Small Pricelist'!A:L,2,0)</f>
        <v>SERVOGREASE MP 3 - 5 KG BUC</v>
      </c>
      <c r="E249" s="1" t="s">
        <v>14</v>
      </c>
      <c r="F249">
        <f>VLOOKUP(B249,'Small Pricelist'!A:L,3,0)</f>
        <v>2255</v>
      </c>
      <c r="G249" s="1" t="s">
        <v>14</v>
      </c>
      <c r="H249">
        <f>VLOOKUP(B249,'Small Pricelist'!A:L,4,0)</f>
        <v>1896.2295000000001</v>
      </c>
      <c r="I249" s="1" t="s">
        <v>14</v>
      </c>
      <c r="J249">
        <f>VLOOKUP(B249,'Small Pricelist'!A:L,5,0)</f>
        <v>45</v>
      </c>
      <c r="K249" s="1" t="s">
        <v>14</v>
      </c>
      <c r="L249">
        <f>VLOOKUP(B249,'Small Pricelist'!A:L,6,0)</f>
        <v>0</v>
      </c>
      <c r="M249" s="1" t="s">
        <v>14</v>
      </c>
      <c r="N249">
        <f>VLOOKUP(B249,'Small Pricelist'!A:L,7,0)</f>
        <v>0</v>
      </c>
      <c r="O249" s="1" t="s">
        <v>14</v>
      </c>
      <c r="P249">
        <f>VLOOKUP(B249,'Small Pricelist'!A:L,8,0)</f>
        <v>1630.7295000000001</v>
      </c>
      <c r="Q249" s="1" t="s">
        <v>14</v>
      </c>
      <c r="R249">
        <f>VLOOKUP(B249,'Small Pricelist'!A:L,9,0)</f>
        <v>624.27049999999986</v>
      </c>
      <c r="S249" s="1" t="s">
        <v>14</v>
      </c>
      <c r="T249">
        <f>VLOOKUP(B249,'Small Pricelist'!A:L,10,0)</f>
        <v>124.85409999999996</v>
      </c>
      <c r="U249" s="1" t="s">
        <v>14</v>
      </c>
      <c r="V249">
        <f>VLOOKUP(B249,'Small Pricelist'!A:L,11,0)</f>
        <v>38.281670871839864</v>
      </c>
      <c r="W249" s="1" t="s">
        <v>14</v>
      </c>
      <c r="X249">
        <f>VLOOKUP(B249,'Small Pricelist'!A:L,12,0)</f>
        <v>1630.7295000000001</v>
      </c>
      <c r="Y249" s="1" t="s">
        <v>12</v>
      </c>
      <c r="Z249" s="25" t="str">
        <f t="shared" si="3"/>
        <v>&lt;tr&gt; &lt;td&gt;7705339&lt;/td&gt;&lt;td&gt;SERVOGREASE MP 3 - 5 KG BUC&lt;/td&gt;&lt;td&gt;2255&lt;/td&gt;&lt;td&gt;1896.2295&lt;/td&gt;&lt;td&gt;45&lt;/td&gt;&lt;td&gt;0&lt;/td&gt;&lt;td&gt;0&lt;/td&gt;&lt;td&gt;1630.7295&lt;/td&gt;&lt;td&gt;624.2705&lt;/td&gt;&lt;td&gt;124.8541&lt;/td&gt;&lt;td&gt;38.2816708718399&lt;/td&gt;&lt;td&gt;1630.7295&lt;/td&gt;&lt;/tr&gt;</v>
      </c>
    </row>
    <row r="250" spans="1:26" x14ac:dyDescent="0.3">
      <c r="A250" s="1" t="s">
        <v>13</v>
      </c>
      <c r="B250">
        <f>'Small Pricelist'!A249</f>
        <v>7705340</v>
      </c>
      <c r="C250" s="1" t="s">
        <v>14</v>
      </c>
      <c r="D250" t="str">
        <f>VLOOKUP(B250,'Small Pricelist'!A:L,2,0)</f>
        <v>SERVOGREASE MP 3-2 X 5 KG</v>
      </c>
      <c r="E250" s="1" t="s">
        <v>14</v>
      </c>
      <c r="F250">
        <f>VLOOKUP(B250,'Small Pricelist'!A:L,3,0)</f>
        <v>2255</v>
      </c>
      <c r="G250" s="1" t="s">
        <v>14</v>
      </c>
      <c r="H250">
        <f>VLOOKUP(B250,'Small Pricelist'!A:L,4,0)</f>
        <v>1896.2295000000001</v>
      </c>
      <c r="I250" s="1" t="s">
        <v>14</v>
      </c>
      <c r="J250">
        <f>VLOOKUP(B250,'Small Pricelist'!A:L,5,0)</f>
        <v>45</v>
      </c>
      <c r="K250" s="1" t="s">
        <v>14</v>
      </c>
      <c r="L250">
        <f>VLOOKUP(B250,'Small Pricelist'!A:L,6,0)</f>
        <v>0</v>
      </c>
      <c r="M250" s="1" t="s">
        <v>14</v>
      </c>
      <c r="N250">
        <f>VLOOKUP(B250,'Small Pricelist'!A:L,7,0)</f>
        <v>0</v>
      </c>
      <c r="O250" s="1" t="s">
        <v>14</v>
      </c>
      <c r="P250">
        <f>VLOOKUP(B250,'Small Pricelist'!A:L,8,0)</f>
        <v>1630.7295000000001</v>
      </c>
      <c r="Q250" s="1" t="s">
        <v>14</v>
      </c>
      <c r="R250">
        <f>VLOOKUP(B250,'Small Pricelist'!A:L,9,0)</f>
        <v>624.27049999999986</v>
      </c>
      <c r="S250" s="1" t="s">
        <v>14</v>
      </c>
      <c r="T250">
        <f>VLOOKUP(B250,'Small Pricelist'!A:L,10,0)</f>
        <v>124.85409999999996</v>
      </c>
      <c r="U250" s="1" t="s">
        <v>14</v>
      </c>
      <c r="V250">
        <f>VLOOKUP(B250,'Small Pricelist'!A:L,11,0)</f>
        <v>38.281670871839864</v>
      </c>
      <c r="W250" s="1" t="s">
        <v>14</v>
      </c>
      <c r="X250">
        <f>VLOOKUP(B250,'Small Pricelist'!A:L,12,0)</f>
        <v>3261.4590000000003</v>
      </c>
      <c r="Y250" s="1" t="s">
        <v>12</v>
      </c>
      <c r="Z250" s="25" t="str">
        <f t="shared" si="3"/>
        <v>&lt;tr&gt; &lt;td&gt;7705340&lt;/td&gt;&lt;td&gt;SERVOGREASE MP 3-2 X 5 KG&lt;/td&gt;&lt;td&gt;2255&lt;/td&gt;&lt;td&gt;1896.2295&lt;/td&gt;&lt;td&gt;45&lt;/td&gt;&lt;td&gt;0&lt;/td&gt;&lt;td&gt;0&lt;/td&gt;&lt;td&gt;1630.7295&lt;/td&gt;&lt;td&gt;624.2705&lt;/td&gt;&lt;td&gt;124.8541&lt;/td&gt;&lt;td&gt;38.2816708718399&lt;/td&gt;&lt;td&gt;3261.459&lt;/td&gt;&lt;/tr&gt;</v>
      </c>
    </row>
    <row r="251" spans="1:26" x14ac:dyDescent="0.3">
      <c r="A251" s="1" t="s">
        <v>13</v>
      </c>
      <c r="B251">
        <f>'Small Pricelist'!A250</f>
        <v>7705341</v>
      </c>
      <c r="C251" s="1" t="s">
        <v>14</v>
      </c>
      <c r="D251" t="str">
        <f>VLOOKUP(B251,'Small Pricelist'!A:L,2,0)</f>
        <v>SERVOGREASE MP 3 -20 KG BUC</v>
      </c>
      <c r="E251" s="1" t="s">
        <v>14</v>
      </c>
      <c r="F251">
        <f>VLOOKUP(B251,'Small Pricelist'!A:L,3,0)</f>
        <v>8900</v>
      </c>
      <c r="G251" s="1" t="s">
        <v>14</v>
      </c>
      <c r="H251">
        <f>VLOOKUP(B251,'Small Pricelist'!A:L,4,0)</f>
        <v>7488.46</v>
      </c>
      <c r="I251" s="1" t="s">
        <v>14</v>
      </c>
      <c r="J251">
        <f>VLOOKUP(B251,'Small Pricelist'!A:L,5,0)</f>
        <v>60</v>
      </c>
      <c r="K251" s="1" t="s">
        <v>14</v>
      </c>
      <c r="L251">
        <f>VLOOKUP(B251,'Small Pricelist'!A:L,6,0)</f>
        <v>0</v>
      </c>
      <c r="M251" s="1" t="s">
        <v>14</v>
      </c>
      <c r="N251">
        <f>VLOOKUP(B251,'Small Pricelist'!A:L,7,0)</f>
        <v>0</v>
      </c>
      <c r="O251" s="1" t="s">
        <v>14</v>
      </c>
      <c r="P251">
        <f>VLOOKUP(B251,'Small Pricelist'!A:L,8,0)</f>
        <v>6072.46</v>
      </c>
      <c r="Q251" s="1" t="s">
        <v>14</v>
      </c>
      <c r="R251">
        <f>VLOOKUP(B251,'Small Pricelist'!A:L,9,0)</f>
        <v>2827.54</v>
      </c>
      <c r="S251" s="1" t="s">
        <v>14</v>
      </c>
      <c r="T251">
        <f>VLOOKUP(B251,'Small Pricelist'!A:L,10,0)</f>
        <v>141.37700000000001</v>
      </c>
      <c r="U251" s="1" t="s">
        <v>14</v>
      </c>
      <c r="V251">
        <f>VLOOKUP(B251,'Small Pricelist'!A:L,11,0)</f>
        <v>46.563336769612313</v>
      </c>
      <c r="W251" s="1" t="s">
        <v>14</v>
      </c>
      <c r="X251">
        <f>VLOOKUP(B251,'Small Pricelist'!A:L,12,0)</f>
        <v>6072.4600000000028</v>
      </c>
      <c r="Y251" s="1" t="s">
        <v>12</v>
      </c>
      <c r="Z251" s="25" t="str">
        <f t="shared" si="3"/>
        <v>&lt;tr&gt; &lt;td&gt;7705341&lt;/td&gt;&lt;td&gt;SERVOGREASE MP 3 -20 KG BUC&lt;/td&gt;&lt;td&gt;8900&lt;/td&gt;&lt;td&gt;7488.46&lt;/td&gt;&lt;td&gt;60&lt;/td&gt;&lt;td&gt;0&lt;/td&gt;&lt;td&gt;0&lt;/td&gt;&lt;td&gt;6072.46&lt;/td&gt;&lt;td&gt;2827.54&lt;/td&gt;&lt;td&gt;141.377&lt;/td&gt;&lt;td&gt;46.5633367696123&lt;/td&gt;&lt;td&gt;6072.46&lt;/td&gt;&lt;/tr&gt;</v>
      </c>
    </row>
    <row r="252" spans="1:26" x14ac:dyDescent="0.3">
      <c r="A252" s="1" t="s">
        <v>13</v>
      </c>
      <c r="B252">
        <f>'Small Pricelist'!A251</f>
        <v>7727303</v>
      </c>
      <c r="C252" s="1" t="s">
        <v>14</v>
      </c>
      <c r="D252" t="str">
        <f>VLOOKUP(B252,'Small Pricelist'!A:L,2,0)</f>
        <v>SERVO GEM RR 3 - 20 X 1/2 KG CTN</v>
      </c>
      <c r="E252" s="1" t="s">
        <v>14</v>
      </c>
      <c r="F252">
        <f>VLOOKUP(B252,'Small Pricelist'!A:L,3,0)</f>
        <v>261</v>
      </c>
      <c r="G252" s="1" t="s">
        <v>14</v>
      </c>
      <c r="H252">
        <f>VLOOKUP(B252,'Small Pricelist'!A:L,4,0)</f>
        <v>206.47709999999998</v>
      </c>
      <c r="I252" s="1" t="s">
        <v>14</v>
      </c>
      <c r="J252">
        <f>VLOOKUP(B252,'Small Pricelist'!A:L,5,0)</f>
        <v>50</v>
      </c>
      <c r="K252" s="1" t="s">
        <v>14</v>
      </c>
      <c r="L252">
        <f>VLOOKUP(B252,'Small Pricelist'!A:L,6,0)</f>
        <v>0</v>
      </c>
      <c r="M252" s="1" t="s">
        <v>14</v>
      </c>
      <c r="N252">
        <f>VLOOKUP(B252,'Small Pricelist'!A:L,7,0)</f>
        <v>0</v>
      </c>
      <c r="O252" s="1" t="s">
        <v>14</v>
      </c>
      <c r="P252">
        <f>VLOOKUP(B252,'Small Pricelist'!A:L,8,0)</f>
        <v>176.97709999999995</v>
      </c>
      <c r="Q252" s="1" t="s">
        <v>14</v>
      </c>
      <c r="R252">
        <f>VLOOKUP(B252,'Small Pricelist'!A:L,9,0)</f>
        <v>84.02290000000005</v>
      </c>
      <c r="S252" s="1" t="s">
        <v>14</v>
      </c>
      <c r="T252">
        <f>VLOOKUP(B252,'Small Pricelist'!A:L,10,0)</f>
        <v>168.0458000000001</v>
      </c>
      <c r="U252" s="1" t="s">
        <v>14</v>
      </c>
      <c r="V252">
        <f>VLOOKUP(B252,'Small Pricelist'!A:L,11,0)</f>
        <v>47.476707438420043</v>
      </c>
      <c r="W252" s="1" t="s">
        <v>14</v>
      </c>
      <c r="X252">
        <f>VLOOKUP(B252,'Small Pricelist'!A:L,12,0)</f>
        <v>3539.5419999999986</v>
      </c>
      <c r="Y252" s="1" t="s">
        <v>12</v>
      </c>
      <c r="Z252" s="25" t="str">
        <f t="shared" si="3"/>
        <v>&lt;tr&gt; &lt;td&gt;7727303&lt;/td&gt;&lt;td&gt;SERVO GEM RR 3 - 20 X 1/2 KG CTN&lt;/td&gt;&lt;td&gt;261&lt;/td&gt;&lt;td&gt;206.4771&lt;/td&gt;&lt;td&gt;50&lt;/td&gt;&lt;td&gt;0&lt;/td&gt;&lt;td&gt;0&lt;/td&gt;&lt;td&gt;176.9771&lt;/td&gt;&lt;td&gt;84.0229&lt;/td&gt;&lt;td&gt;168.0458&lt;/td&gt;&lt;td&gt;47.47670743842&lt;/td&gt;&lt;td&gt;3539.542&lt;/td&gt;&lt;/tr&gt;</v>
      </c>
    </row>
    <row r="253" spans="1:26" x14ac:dyDescent="0.3">
      <c r="A253" s="1" t="s">
        <v>13</v>
      </c>
      <c r="B253">
        <f>'Small Pricelist'!A252</f>
        <v>7727313</v>
      </c>
      <c r="C253" s="1" t="s">
        <v>14</v>
      </c>
      <c r="D253" t="str">
        <f>VLOOKUP(B253,'Small Pricelist'!A:L,2,0)</f>
        <v>SERVO GEM RR 3 - 10 X 1 KG CTN</v>
      </c>
      <c r="E253" s="1" t="s">
        <v>14</v>
      </c>
      <c r="F253">
        <f>VLOOKUP(B253,'Small Pricelist'!A:L,3,0)</f>
        <v>510</v>
      </c>
      <c r="G253" s="1" t="s">
        <v>14</v>
      </c>
      <c r="H253">
        <f>VLOOKUP(B253,'Small Pricelist'!A:L,4,0)</f>
        <v>419.11800000000005</v>
      </c>
      <c r="I253" s="1" t="s">
        <v>14</v>
      </c>
      <c r="J253">
        <f>VLOOKUP(B253,'Small Pricelist'!A:L,5,0)</f>
        <v>45</v>
      </c>
      <c r="K253" s="1" t="s">
        <v>14</v>
      </c>
      <c r="L253">
        <f>VLOOKUP(B253,'Small Pricelist'!A:L,6,0)</f>
        <v>0</v>
      </c>
      <c r="M253" s="1" t="s">
        <v>14</v>
      </c>
      <c r="N253">
        <f>VLOOKUP(B253,'Small Pricelist'!A:L,7,0)</f>
        <v>0</v>
      </c>
      <c r="O253" s="1" t="s">
        <v>14</v>
      </c>
      <c r="P253">
        <f>VLOOKUP(B253,'Small Pricelist'!A:L,8,0)</f>
        <v>366.01800000000009</v>
      </c>
      <c r="Q253" s="1" t="s">
        <v>14</v>
      </c>
      <c r="R253">
        <f>VLOOKUP(B253,'Small Pricelist'!A:L,9,0)</f>
        <v>143.98199999999991</v>
      </c>
      <c r="S253" s="1" t="s">
        <v>14</v>
      </c>
      <c r="T253">
        <f>VLOOKUP(B253,'Small Pricelist'!A:L,10,0)</f>
        <v>143.98199999999991</v>
      </c>
      <c r="U253" s="1" t="s">
        <v>14</v>
      </c>
      <c r="V253">
        <f>VLOOKUP(B253,'Small Pricelist'!A:L,11,0)</f>
        <v>39.337409635591655</v>
      </c>
      <c r="W253" s="1" t="s">
        <v>14</v>
      </c>
      <c r="X253">
        <f>VLOOKUP(B253,'Small Pricelist'!A:L,12,0)</f>
        <v>3660.1800000000007</v>
      </c>
      <c r="Y253" s="1" t="s">
        <v>12</v>
      </c>
      <c r="Z253" s="25" t="str">
        <f t="shared" si="3"/>
        <v>&lt;tr&gt; &lt;td&gt;7727313&lt;/td&gt;&lt;td&gt;SERVO GEM RR 3 - 10 X 1 KG CTN&lt;/td&gt;&lt;td&gt;510&lt;/td&gt;&lt;td&gt;419.118&lt;/td&gt;&lt;td&gt;45&lt;/td&gt;&lt;td&gt;0&lt;/td&gt;&lt;td&gt;0&lt;/td&gt;&lt;td&gt;366.018&lt;/td&gt;&lt;td&gt;143.982&lt;/td&gt;&lt;td&gt;143.982&lt;/td&gt;&lt;td&gt;39.3374096355917&lt;/td&gt;&lt;td&gt;3660.18&lt;/td&gt;&lt;/tr&gt;</v>
      </c>
    </row>
    <row r="254" spans="1:26" x14ac:dyDescent="0.3">
      <c r="A254" s="1" t="s">
        <v>13</v>
      </c>
      <c r="B254">
        <f>'Small Pricelist'!A253</f>
        <v>7727327</v>
      </c>
      <c r="C254" s="1" t="s">
        <v>14</v>
      </c>
      <c r="D254" t="str">
        <f>VLOOKUP(B254,'Small Pricelist'!A:L,2,0)</f>
        <v>SERVO GEM RR 3-6X2 KG TUB</v>
      </c>
      <c r="E254" s="1" t="s">
        <v>14</v>
      </c>
      <c r="F254">
        <f>VLOOKUP(B254,'Small Pricelist'!A:L,3,0)</f>
        <v>1010</v>
      </c>
      <c r="G254" s="1" t="s">
        <v>14</v>
      </c>
      <c r="H254">
        <f>VLOOKUP(B254,'Small Pricelist'!A:L,4,0)</f>
        <v>822.03899999999999</v>
      </c>
      <c r="I254" s="1" t="s">
        <v>14</v>
      </c>
      <c r="J254">
        <f>VLOOKUP(B254,'Small Pricelist'!A:L,5,0)</f>
        <v>45</v>
      </c>
      <c r="K254" s="1" t="s">
        <v>14</v>
      </c>
      <c r="L254">
        <f>VLOOKUP(B254,'Small Pricelist'!A:L,6,0)</f>
        <v>0</v>
      </c>
      <c r="M254" s="1" t="s">
        <v>14</v>
      </c>
      <c r="N254">
        <f>VLOOKUP(B254,'Small Pricelist'!A:L,7,0)</f>
        <v>0</v>
      </c>
      <c r="O254" s="1" t="s">
        <v>14</v>
      </c>
      <c r="P254">
        <f>VLOOKUP(B254,'Small Pricelist'!A:L,8,0)</f>
        <v>715.83899999999994</v>
      </c>
      <c r="Q254" s="1" t="s">
        <v>14</v>
      </c>
      <c r="R254">
        <f>VLOOKUP(B254,'Small Pricelist'!A:L,9,0)</f>
        <v>294.16100000000006</v>
      </c>
      <c r="S254" s="1" t="s">
        <v>14</v>
      </c>
      <c r="T254">
        <f>VLOOKUP(B254,'Small Pricelist'!A:L,10,0)</f>
        <v>147.08050000000003</v>
      </c>
      <c r="U254" s="1" t="s">
        <v>14</v>
      </c>
      <c r="V254">
        <f>VLOOKUP(B254,'Small Pricelist'!A:L,11,0)</f>
        <v>41.093178773439291</v>
      </c>
      <c r="W254" s="1" t="s">
        <v>14</v>
      </c>
      <c r="X254">
        <f>VLOOKUP(B254,'Small Pricelist'!A:L,12,0)</f>
        <v>4295.0340000000006</v>
      </c>
      <c r="Y254" s="1" t="s">
        <v>12</v>
      </c>
      <c r="Z254" s="25" t="str">
        <f t="shared" si="3"/>
        <v>&lt;tr&gt; &lt;td&gt;7727327&lt;/td&gt;&lt;td&gt;SERVO GEM RR 3-6X2 KG TUB&lt;/td&gt;&lt;td&gt;1010&lt;/td&gt;&lt;td&gt;822.039&lt;/td&gt;&lt;td&gt;45&lt;/td&gt;&lt;td&gt;0&lt;/td&gt;&lt;td&gt;0&lt;/td&gt;&lt;td&gt;715.839&lt;/td&gt;&lt;td&gt;294.161&lt;/td&gt;&lt;td&gt;147.0805&lt;/td&gt;&lt;td&gt;41.0931787734393&lt;/td&gt;&lt;td&gt;4295.034&lt;/td&gt;&lt;/tr&gt;</v>
      </c>
    </row>
    <row r="255" spans="1:26" x14ac:dyDescent="0.3">
      <c r="A255" s="1" t="s">
        <v>13</v>
      </c>
      <c r="B255">
        <f>'Small Pricelist'!A254</f>
        <v>7727337</v>
      </c>
      <c r="C255" s="1" t="s">
        <v>14</v>
      </c>
      <c r="D255" t="str">
        <f>VLOOKUP(B255,'Small Pricelist'!A:L,2,0)</f>
        <v>SERVO GEM RR 3-4X3 KG</v>
      </c>
      <c r="E255" s="1" t="s">
        <v>14</v>
      </c>
      <c r="F255">
        <f>VLOOKUP(B255,'Small Pricelist'!A:L,3,0)</f>
        <v>1500</v>
      </c>
      <c r="G255" s="1" t="s">
        <v>14</v>
      </c>
      <c r="H255">
        <f>VLOOKUP(B255,'Small Pricelist'!A:L,4,0)</f>
        <v>1205.2499999999998</v>
      </c>
      <c r="I255" s="1" t="s">
        <v>14</v>
      </c>
      <c r="J255">
        <f>VLOOKUP(B255,'Small Pricelist'!A:L,5,0)</f>
        <v>40</v>
      </c>
      <c r="K255" s="1" t="s">
        <v>14</v>
      </c>
      <c r="L255">
        <f>VLOOKUP(B255,'Small Pricelist'!A:L,6,0)</f>
        <v>0</v>
      </c>
      <c r="M255" s="1" t="s">
        <v>14</v>
      </c>
      <c r="N255">
        <f>VLOOKUP(B255,'Small Pricelist'!A:L,7,0)</f>
        <v>0</v>
      </c>
      <c r="O255" s="1" t="s">
        <v>14</v>
      </c>
      <c r="P255">
        <f>VLOOKUP(B255,'Small Pricelist'!A:L,8,0)</f>
        <v>1063.6499999999999</v>
      </c>
      <c r="Q255" s="1" t="s">
        <v>14</v>
      </c>
      <c r="R255">
        <f>VLOOKUP(B255,'Small Pricelist'!A:L,9,0)</f>
        <v>436.35000000000014</v>
      </c>
      <c r="S255" s="1" t="s">
        <v>14</v>
      </c>
      <c r="T255">
        <f>VLOOKUP(B255,'Small Pricelist'!A:L,10,0)</f>
        <v>145.45000000000005</v>
      </c>
      <c r="U255" s="1" t="s">
        <v>14</v>
      </c>
      <c r="V255">
        <f>VLOOKUP(B255,'Small Pricelist'!A:L,11,0)</f>
        <v>41.023833027781713</v>
      </c>
      <c r="W255" s="1" t="s">
        <v>14</v>
      </c>
      <c r="X255">
        <f>VLOOKUP(B255,'Small Pricelist'!A:L,12,0)</f>
        <v>4254.5999999999985</v>
      </c>
      <c r="Y255" s="1" t="s">
        <v>12</v>
      </c>
      <c r="Z255" s="25" t="str">
        <f t="shared" si="3"/>
        <v>&lt;tr&gt; &lt;td&gt;7727337&lt;/td&gt;&lt;td&gt;SERVO GEM RR 3-4X3 KG&lt;/td&gt;&lt;td&gt;1500&lt;/td&gt;&lt;td&gt;1205.25&lt;/td&gt;&lt;td&gt;40&lt;/td&gt;&lt;td&gt;0&lt;/td&gt;&lt;td&gt;0&lt;/td&gt;&lt;td&gt;1063.65&lt;/td&gt;&lt;td&gt;436.35&lt;/td&gt;&lt;td&gt;145.45&lt;/td&gt;&lt;td&gt;41.0238330277817&lt;/td&gt;&lt;td&gt;4254.6&lt;/td&gt;&lt;/tr&gt;</v>
      </c>
    </row>
    <row r="256" spans="1:26" x14ac:dyDescent="0.3">
      <c r="A256" s="1" t="s">
        <v>13</v>
      </c>
      <c r="B256">
        <f>'Small Pricelist'!A255</f>
        <v>7727341</v>
      </c>
      <c r="C256" s="1" t="s">
        <v>14</v>
      </c>
      <c r="D256" t="str">
        <f>VLOOKUP(B256,'Small Pricelist'!A:L,2,0)</f>
        <v>SERVO GEM RR 3 - 20 KG. BUC</v>
      </c>
      <c r="E256" s="1" t="s">
        <v>14</v>
      </c>
      <c r="F256">
        <f>VLOOKUP(B256,'Small Pricelist'!A:L,3,0)</f>
        <v>9200</v>
      </c>
      <c r="G256" s="1" t="s">
        <v>14</v>
      </c>
      <c r="H256">
        <f>VLOOKUP(B256,'Small Pricelist'!A:L,4,0)</f>
        <v>7912.92</v>
      </c>
      <c r="I256" s="1" t="s">
        <v>14</v>
      </c>
      <c r="J256">
        <f>VLOOKUP(B256,'Small Pricelist'!A:L,5,0)</f>
        <v>45</v>
      </c>
      <c r="K256" s="1" t="s">
        <v>14</v>
      </c>
      <c r="L256">
        <f>VLOOKUP(B256,'Small Pricelist'!A:L,6,0)</f>
        <v>0</v>
      </c>
      <c r="M256" s="1" t="s">
        <v>14</v>
      </c>
      <c r="N256">
        <f>VLOOKUP(B256,'Small Pricelist'!A:L,7,0)</f>
        <v>0</v>
      </c>
      <c r="O256" s="1" t="s">
        <v>14</v>
      </c>
      <c r="P256">
        <f>VLOOKUP(B256,'Small Pricelist'!A:L,8,0)</f>
        <v>6850.92</v>
      </c>
      <c r="Q256" s="1" t="s">
        <v>14</v>
      </c>
      <c r="R256">
        <f>VLOOKUP(B256,'Small Pricelist'!A:L,9,0)</f>
        <v>2349.08</v>
      </c>
      <c r="S256" s="1" t="s">
        <v>14</v>
      </c>
      <c r="T256">
        <f>VLOOKUP(B256,'Small Pricelist'!A:L,10,0)</f>
        <v>117.45400000000001</v>
      </c>
      <c r="U256" s="1" t="s">
        <v>14</v>
      </c>
      <c r="V256">
        <f>VLOOKUP(B256,'Small Pricelist'!A:L,11,0)</f>
        <v>34.28853351082774</v>
      </c>
      <c r="W256" s="1" t="s">
        <v>14</v>
      </c>
      <c r="X256">
        <f>VLOOKUP(B256,'Small Pricelist'!A:L,12,0)</f>
        <v>6850.9200000000028</v>
      </c>
      <c r="Y256" s="1" t="s">
        <v>12</v>
      </c>
      <c r="Z256" s="25" t="str">
        <f t="shared" si="3"/>
        <v>&lt;tr&gt; &lt;td&gt;7727341&lt;/td&gt;&lt;td&gt;SERVO GEM RR 3 - 20 KG. BUC&lt;/td&gt;&lt;td&gt;9200&lt;/td&gt;&lt;td&gt;7912.92&lt;/td&gt;&lt;td&gt;45&lt;/td&gt;&lt;td&gt;0&lt;/td&gt;&lt;td&gt;0&lt;/td&gt;&lt;td&gt;6850.92&lt;/td&gt;&lt;td&gt;2349.08&lt;/td&gt;&lt;td&gt;117.454&lt;/td&gt;&lt;td&gt;34.2885335108277&lt;/td&gt;&lt;td&gt;6850.92&lt;/td&gt;&lt;/tr&gt;</v>
      </c>
    </row>
    <row r="257" spans="1:26" x14ac:dyDescent="0.3">
      <c r="A257" s="1" t="s">
        <v>13</v>
      </c>
      <c r="B257">
        <f>'Small Pricelist'!A256</f>
        <v>7742341</v>
      </c>
      <c r="C257" s="1" t="s">
        <v>14</v>
      </c>
      <c r="D257" t="str">
        <f>VLOOKUP(B257,'Small Pricelist'!A:L,2,0)</f>
        <v>SERVOGEM EP 2-20 KG BUC</v>
      </c>
      <c r="E257" s="1" t="s">
        <v>14</v>
      </c>
      <c r="F257">
        <f>VLOOKUP(B257,'Small Pricelist'!A:L,3,0)</f>
        <v>9500</v>
      </c>
      <c r="G257" s="1" t="s">
        <v>14</v>
      </c>
      <c r="H257">
        <f>VLOOKUP(B257,'Small Pricelist'!A:L,4,0)</f>
        <v>7801.4</v>
      </c>
      <c r="I257" s="1" t="s">
        <v>14</v>
      </c>
      <c r="J257">
        <f>VLOOKUP(B257,'Small Pricelist'!A:L,5,0)</f>
        <v>0</v>
      </c>
      <c r="K257" s="1" t="s">
        <v>14</v>
      </c>
      <c r="L257">
        <f>VLOOKUP(B257,'Small Pricelist'!A:L,6,0)</f>
        <v>0</v>
      </c>
      <c r="M257" s="1" t="s">
        <v>14</v>
      </c>
      <c r="N257">
        <f>VLOOKUP(B257,'Small Pricelist'!A:L,7,0)</f>
        <v>0</v>
      </c>
      <c r="O257" s="1" t="s">
        <v>14</v>
      </c>
      <c r="P257">
        <f>VLOOKUP(B257,'Small Pricelist'!A:L,8,0)</f>
        <v>7801.4</v>
      </c>
      <c r="Q257" s="1" t="s">
        <v>14</v>
      </c>
      <c r="R257">
        <f>VLOOKUP(B257,'Small Pricelist'!A:L,9,0)</f>
        <v>1698.6000000000004</v>
      </c>
      <c r="S257" s="1" t="s">
        <v>14</v>
      </c>
      <c r="T257">
        <f>VLOOKUP(B257,'Small Pricelist'!A:L,10,0)</f>
        <v>84.93</v>
      </c>
      <c r="U257" s="1" t="s">
        <v>14</v>
      </c>
      <c r="V257">
        <f>VLOOKUP(B257,'Small Pricelist'!A:L,11,0)</f>
        <v>21.773015099853879</v>
      </c>
      <c r="W257" s="1" t="s">
        <v>14</v>
      </c>
      <c r="X257">
        <f>VLOOKUP(B257,'Small Pricelist'!A:L,12,0)</f>
        <v>7801.4000000000033</v>
      </c>
      <c r="Y257" s="1" t="s">
        <v>12</v>
      </c>
      <c r="Z257" s="25" t="str">
        <f t="shared" si="3"/>
        <v>&lt;tr&gt; &lt;td&gt;7742341&lt;/td&gt;&lt;td&gt;SERVOGEM EP 2-20 KG BUC&lt;/td&gt;&lt;td&gt;9500&lt;/td&gt;&lt;td&gt;7801.4&lt;/td&gt;&lt;td&gt;0&lt;/td&gt;&lt;td&gt;0&lt;/td&gt;&lt;td&gt;0&lt;/td&gt;&lt;td&gt;7801.4&lt;/td&gt;&lt;td&gt;1698.6&lt;/td&gt;&lt;td&gt;84.93&lt;/td&gt;&lt;td&gt;21.7730150998539&lt;/td&gt;&lt;td&gt;7801.4&lt;/td&gt;&lt;/tr&gt;</v>
      </c>
    </row>
    <row r="258" spans="1:26" x14ac:dyDescent="0.3">
      <c r="A258" s="1" t="s">
        <v>13</v>
      </c>
      <c r="B258">
        <f>'Small Pricelist'!A257</f>
        <v>7849303</v>
      </c>
      <c r="C258" s="1" t="s">
        <v>14</v>
      </c>
      <c r="D258" t="str">
        <f>VLOOKUP(B258,'Small Pricelist'!A:L,2,0)</f>
        <v>SERVO LONG LIFE GREASE-20 X 1/2 KG</v>
      </c>
      <c r="E258" s="1" t="s">
        <v>14</v>
      </c>
      <c r="F258">
        <f>VLOOKUP(B258,'Small Pricelist'!A:L,3,0)</f>
        <v>288</v>
      </c>
      <c r="G258" s="1" t="s">
        <v>14</v>
      </c>
      <c r="H258">
        <f>VLOOKUP(B258,'Small Pricelist'!A:L,4,0)</f>
        <v>205.71840000000003</v>
      </c>
      <c r="I258" s="1" t="s">
        <v>14</v>
      </c>
      <c r="J258">
        <f>VLOOKUP(B258,'Small Pricelist'!A:L,5,0)</f>
        <v>40</v>
      </c>
      <c r="K258" s="1" t="s">
        <v>14</v>
      </c>
      <c r="L258">
        <f>VLOOKUP(B258,'Small Pricelist'!A:L,6,0)</f>
        <v>0</v>
      </c>
      <c r="M258" s="1" t="s">
        <v>14</v>
      </c>
      <c r="N258">
        <f>VLOOKUP(B258,'Small Pricelist'!A:L,7,0)</f>
        <v>0</v>
      </c>
      <c r="O258" s="1" t="s">
        <v>14</v>
      </c>
      <c r="P258">
        <f>VLOOKUP(B258,'Small Pricelist'!A:L,8,0)</f>
        <v>182.11840000000001</v>
      </c>
      <c r="Q258" s="1" t="s">
        <v>14</v>
      </c>
      <c r="R258">
        <f>VLOOKUP(B258,'Small Pricelist'!A:L,9,0)</f>
        <v>105.88159999999999</v>
      </c>
      <c r="S258" s="1" t="s">
        <v>14</v>
      </c>
      <c r="T258">
        <f>VLOOKUP(B258,'Small Pricelist'!A:L,10,0)</f>
        <v>211.76319999999998</v>
      </c>
      <c r="U258" s="1" t="s">
        <v>14</v>
      </c>
      <c r="V258">
        <f>VLOOKUP(B258,'Small Pricelist'!A:L,11,0)</f>
        <v>58.138881079561422</v>
      </c>
      <c r="W258" s="1" t="s">
        <v>14</v>
      </c>
      <c r="X258">
        <f>VLOOKUP(B258,'Small Pricelist'!A:L,12,0)</f>
        <v>3642.3679999999995</v>
      </c>
      <c r="Y258" s="1" t="s">
        <v>12</v>
      </c>
      <c r="Z258" s="25" t="str">
        <f t="shared" si="3"/>
        <v>&lt;tr&gt; &lt;td&gt;7849303&lt;/td&gt;&lt;td&gt;SERVO LONG LIFE GREASE-20 X 1/2 KG&lt;/td&gt;&lt;td&gt;288&lt;/td&gt;&lt;td&gt;205.7184&lt;/td&gt;&lt;td&gt;40&lt;/td&gt;&lt;td&gt;0&lt;/td&gt;&lt;td&gt;0&lt;/td&gt;&lt;td&gt;182.1184&lt;/td&gt;&lt;td&gt;105.8816&lt;/td&gt;&lt;td&gt;211.7632&lt;/td&gt;&lt;td&gt;58.1388810795614&lt;/td&gt;&lt;td&gt;3642.368&lt;/td&gt;&lt;/tr&gt;</v>
      </c>
    </row>
    <row r="259" spans="1:26" x14ac:dyDescent="0.3">
      <c r="A259" s="1" t="s">
        <v>13</v>
      </c>
      <c r="B259">
        <f>'Small Pricelist'!A258</f>
        <v>7849313</v>
      </c>
      <c r="C259" s="1" t="s">
        <v>14</v>
      </c>
      <c r="D259" t="str">
        <f>VLOOKUP(B259,'Small Pricelist'!A:L,2,0)</f>
        <v>SERVO LONG LIFE GREASE-10X1 KG TUB</v>
      </c>
      <c r="E259" s="1" t="s">
        <v>14</v>
      </c>
      <c r="F259">
        <f>VLOOKUP(B259,'Small Pricelist'!A:L,3,0)</f>
        <v>565</v>
      </c>
      <c r="G259" s="1" t="s">
        <v>14</v>
      </c>
      <c r="H259">
        <f>VLOOKUP(B259,'Small Pricelist'!A:L,4,0)</f>
        <v>426.68799999999993</v>
      </c>
      <c r="I259" s="1" t="s">
        <v>14</v>
      </c>
      <c r="J259">
        <f>VLOOKUP(B259,'Small Pricelist'!A:L,5,0)</f>
        <v>0</v>
      </c>
      <c r="K259" s="1" t="s">
        <v>14</v>
      </c>
      <c r="L259">
        <f>VLOOKUP(B259,'Small Pricelist'!A:L,6,0)</f>
        <v>0</v>
      </c>
      <c r="M259" s="1" t="s">
        <v>14</v>
      </c>
      <c r="N259">
        <f>VLOOKUP(B259,'Small Pricelist'!A:L,7,0)</f>
        <v>0</v>
      </c>
      <c r="O259" s="1" t="s">
        <v>14</v>
      </c>
      <c r="P259">
        <f>VLOOKUP(B259,'Small Pricelist'!A:L,8,0)</f>
        <v>426.68799999999993</v>
      </c>
      <c r="Q259" s="1" t="s">
        <v>14</v>
      </c>
      <c r="R259">
        <f>VLOOKUP(B259,'Small Pricelist'!A:L,9,0)</f>
        <v>138.31200000000007</v>
      </c>
      <c r="S259" s="1" t="s">
        <v>14</v>
      </c>
      <c r="T259">
        <f>VLOOKUP(B259,'Small Pricelist'!A:L,10,0)</f>
        <v>138.31200000000007</v>
      </c>
      <c r="U259" s="1" t="s">
        <v>14</v>
      </c>
      <c r="V259">
        <f>VLOOKUP(B259,'Small Pricelist'!A:L,11,0)</f>
        <v>32.415254237288153</v>
      </c>
      <c r="W259" s="1" t="s">
        <v>14</v>
      </c>
      <c r="X259">
        <f>VLOOKUP(B259,'Small Pricelist'!A:L,12,0)</f>
        <v>4266.8799999999992</v>
      </c>
      <c r="Y259" s="1" t="s">
        <v>12</v>
      </c>
      <c r="Z259" s="25" t="str">
        <f t="shared" ref="Z259:Z275" si="4">CONCATENATE(A259,B259,C259,D259,E259,F259,G259,H259,I259,J259,K259,L259,M259,N259,O259,P259,Q259,R259,S259,T259,U259,V259,W259,X259,Y259)</f>
        <v>&lt;tr&gt; &lt;td&gt;7849313&lt;/td&gt;&lt;td&gt;SERVO LONG LIFE GREASE-10X1 KG TUB&lt;/td&gt;&lt;td&gt;565&lt;/td&gt;&lt;td&gt;426.688&lt;/td&gt;&lt;td&gt;0&lt;/td&gt;&lt;td&gt;0&lt;/td&gt;&lt;td&gt;0&lt;/td&gt;&lt;td&gt;426.688&lt;/td&gt;&lt;td&gt;138.312&lt;/td&gt;&lt;td&gt;138.312&lt;/td&gt;&lt;td&gt;32.4152542372882&lt;/td&gt;&lt;td&gt;4266.88&lt;/td&gt;&lt;/tr&gt;</v>
      </c>
    </row>
    <row r="260" spans="1:26" x14ac:dyDescent="0.3">
      <c r="A260" s="1" t="s">
        <v>13</v>
      </c>
      <c r="B260">
        <f>'Small Pricelist'!A259</f>
        <v>7849327</v>
      </c>
      <c r="C260" s="1" t="s">
        <v>14</v>
      </c>
      <c r="D260" t="str">
        <f>VLOOKUP(B260,'Small Pricelist'!A:L,2,0)</f>
        <v>SERVO LONG LIFE GREASE-6X2 KG TUB</v>
      </c>
      <c r="E260" s="1" t="s">
        <v>14</v>
      </c>
      <c r="F260">
        <f>VLOOKUP(B260,'Small Pricelist'!A:L,3,0)</f>
        <v>1150</v>
      </c>
      <c r="G260" s="1" t="s">
        <v>14</v>
      </c>
      <c r="H260">
        <f>VLOOKUP(B260,'Small Pricelist'!A:L,4,0)</f>
        <v>838.58</v>
      </c>
      <c r="I260" s="1" t="s">
        <v>14</v>
      </c>
      <c r="J260">
        <f>VLOOKUP(B260,'Small Pricelist'!A:L,5,0)</f>
        <v>40</v>
      </c>
      <c r="K260" s="1" t="s">
        <v>14</v>
      </c>
      <c r="L260">
        <f>VLOOKUP(B260,'Small Pricelist'!A:L,6,0)</f>
        <v>0</v>
      </c>
      <c r="M260" s="1" t="s">
        <v>14</v>
      </c>
      <c r="N260">
        <f>VLOOKUP(B260,'Small Pricelist'!A:L,7,0)</f>
        <v>0</v>
      </c>
      <c r="O260" s="1" t="s">
        <v>14</v>
      </c>
      <c r="P260">
        <f>VLOOKUP(B260,'Small Pricelist'!A:L,8,0)</f>
        <v>744.18000000000006</v>
      </c>
      <c r="Q260" s="1" t="s">
        <v>14</v>
      </c>
      <c r="R260">
        <f>VLOOKUP(B260,'Small Pricelist'!A:L,9,0)</f>
        <v>405.81999999999994</v>
      </c>
      <c r="S260" s="1" t="s">
        <v>14</v>
      </c>
      <c r="T260">
        <f>VLOOKUP(B260,'Small Pricelist'!A:L,10,0)</f>
        <v>202.90999999999997</v>
      </c>
      <c r="U260" s="1" t="s">
        <v>14</v>
      </c>
      <c r="V260">
        <f>VLOOKUP(B260,'Small Pricelist'!A:L,11,0)</f>
        <v>54.53250557660779</v>
      </c>
      <c r="W260" s="1" t="s">
        <v>14</v>
      </c>
      <c r="X260">
        <f>VLOOKUP(B260,'Small Pricelist'!A:L,12,0)</f>
        <v>4465.0800000000017</v>
      </c>
      <c r="Y260" s="1" t="s">
        <v>12</v>
      </c>
      <c r="Z260" s="25" t="str">
        <f t="shared" si="4"/>
        <v>&lt;tr&gt; &lt;td&gt;7849327&lt;/td&gt;&lt;td&gt;SERVO LONG LIFE GREASE-6X2 KG TUB&lt;/td&gt;&lt;td&gt;1150&lt;/td&gt;&lt;td&gt;838.58&lt;/td&gt;&lt;td&gt;40&lt;/td&gt;&lt;td&gt;0&lt;/td&gt;&lt;td&gt;0&lt;/td&gt;&lt;td&gt;744.18&lt;/td&gt;&lt;td&gt;405.82&lt;/td&gt;&lt;td&gt;202.91&lt;/td&gt;&lt;td&gt;54.5325055766078&lt;/td&gt;&lt;td&gt;4465.08&lt;/td&gt;&lt;/tr&gt;</v>
      </c>
    </row>
    <row r="261" spans="1:26" x14ac:dyDescent="0.3">
      <c r="A261" s="1" t="s">
        <v>13</v>
      </c>
      <c r="B261">
        <f>'Small Pricelist'!A260</f>
        <v>7849337</v>
      </c>
      <c r="C261" s="1" t="s">
        <v>14</v>
      </c>
      <c r="D261" t="str">
        <f>VLOOKUP(B261,'Small Pricelist'!A:L,2,0)</f>
        <v>SERVO LONG LIFE GREASE-4X3 KG TUB</v>
      </c>
      <c r="E261" s="1" t="s">
        <v>14</v>
      </c>
      <c r="F261">
        <f>VLOOKUP(B261,'Small Pricelist'!A:L,3,0)</f>
        <v>1700</v>
      </c>
      <c r="G261" s="1" t="s">
        <v>14</v>
      </c>
      <c r="H261">
        <f>VLOOKUP(B261,'Small Pricelist'!A:L,4,0)</f>
        <v>1248.6500000000001</v>
      </c>
      <c r="I261" s="1" t="s">
        <v>14</v>
      </c>
      <c r="J261">
        <f>VLOOKUP(B261,'Small Pricelist'!A:L,5,0)</f>
        <v>40</v>
      </c>
      <c r="K261" s="1" t="s">
        <v>14</v>
      </c>
      <c r="L261">
        <f>VLOOKUP(B261,'Small Pricelist'!A:L,6,0)</f>
        <v>0</v>
      </c>
      <c r="M261" s="1" t="s">
        <v>14</v>
      </c>
      <c r="N261">
        <f>VLOOKUP(B261,'Small Pricelist'!A:L,7,0)</f>
        <v>0</v>
      </c>
      <c r="O261" s="1" t="s">
        <v>14</v>
      </c>
      <c r="P261">
        <f>VLOOKUP(B261,'Small Pricelist'!A:L,8,0)</f>
        <v>1107.0500000000002</v>
      </c>
      <c r="Q261" s="1" t="s">
        <v>14</v>
      </c>
      <c r="R261">
        <f>VLOOKUP(B261,'Small Pricelist'!A:L,9,0)</f>
        <v>592.94999999999982</v>
      </c>
      <c r="S261" s="1" t="s">
        <v>14</v>
      </c>
      <c r="T261">
        <f>VLOOKUP(B261,'Small Pricelist'!A:L,10,0)</f>
        <v>197.64999999999992</v>
      </c>
      <c r="U261" s="1" t="s">
        <v>14</v>
      </c>
      <c r="V261">
        <f>VLOOKUP(B261,'Small Pricelist'!A:L,11,0)</f>
        <v>53.561266428797225</v>
      </c>
      <c r="W261" s="1" t="s">
        <v>14</v>
      </c>
      <c r="X261">
        <f>VLOOKUP(B261,'Small Pricelist'!A:L,12,0)</f>
        <v>4428.2</v>
      </c>
      <c r="Y261" s="1" t="s">
        <v>12</v>
      </c>
      <c r="Z261" s="25" t="str">
        <f t="shared" si="4"/>
        <v>&lt;tr&gt; &lt;td&gt;7849337&lt;/td&gt;&lt;td&gt;SERVO LONG LIFE GREASE-4X3 KG TUB&lt;/td&gt;&lt;td&gt;1700&lt;/td&gt;&lt;td&gt;1248.65&lt;/td&gt;&lt;td&gt;40&lt;/td&gt;&lt;td&gt;0&lt;/td&gt;&lt;td&gt;0&lt;/td&gt;&lt;td&gt;1107.05&lt;/td&gt;&lt;td&gt;592.95&lt;/td&gt;&lt;td&gt;197.65&lt;/td&gt;&lt;td&gt;53.5612664287972&lt;/td&gt;&lt;td&gt;4428.2&lt;/td&gt;&lt;/tr&gt;</v>
      </c>
    </row>
    <row r="262" spans="1:26" x14ac:dyDescent="0.3">
      <c r="A262" s="1" t="s">
        <v>13</v>
      </c>
      <c r="B262">
        <f>'Small Pricelist'!A261</f>
        <v>7849340</v>
      </c>
      <c r="C262" s="1" t="s">
        <v>14</v>
      </c>
      <c r="D262" t="str">
        <f>VLOOKUP(B262,'Small Pricelist'!A:L,2,0)</f>
        <v>SERVO LONG LIFE GREASE-2 X 5 KG</v>
      </c>
      <c r="E262" s="1" t="s">
        <v>14</v>
      </c>
      <c r="F262">
        <f>VLOOKUP(B262,'Small Pricelist'!A:L,3,0)</f>
        <v>2800</v>
      </c>
      <c r="G262" s="1" t="s">
        <v>14</v>
      </c>
      <c r="H262">
        <f>VLOOKUP(B262,'Small Pricelist'!A:L,4,0)</f>
        <v>2059.4</v>
      </c>
      <c r="I262" s="1" t="s">
        <v>14</v>
      </c>
      <c r="J262">
        <f>VLOOKUP(B262,'Small Pricelist'!A:L,5,0)</f>
        <v>40</v>
      </c>
      <c r="K262" s="1" t="s">
        <v>14</v>
      </c>
      <c r="L262">
        <f>VLOOKUP(B262,'Small Pricelist'!A:L,6,0)</f>
        <v>0</v>
      </c>
      <c r="M262" s="1" t="s">
        <v>14</v>
      </c>
      <c r="N262">
        <f>VLOOKUP(B262,'Small Pricelist'!A:L,7,0)</f>
        <v>0</v>
      </c>
      <c r="O262" s="1" t="s">
        <v>14</v>
      </c>
      <c r="P262">
        <f>VLOOKUP(B262,'Small Pricelist'!A:L,8,0)</f>
        <v>1823.4</v>
      </c>
      <c r="Q262" s="1" t="s">
        <v>14</v>
      </c>
      <c r="R262">
        <f>VLOOKUP(B262,'Small Pricelist'!A:L,9,0)</f>
        <v>976.59999999999991</v>
      </c>
      <c r="S262" s="1" t="s">
        <v>14</v>
      </c>
      <c r="T262">
        <f>VLOOKUP(B262,'Small Pricelist'!A:L,10,0)</f>
        <v>195.32</v>
      </c>
      <c r="U262" s="1" t="s">
        <v>14</v>
      </c>
      <c r="V262">
        <f>VLOOKUP(B262,'Small Pricelist'!A:L,11,0)</f>
        <v>53.559284852473397</v>
      </c>
      <c r="W262" s="1" t="s">
        <v>14</v>
      </c>
      <c r="X262">
        <f>VLOOKUP(B262,'Small Pricelist'!A:L,12,0)</f>
        <v>3646.8</v>
      </c>
      <c r="Y262" s="1" t="s">
        <v>12</v>
      </c>
      <c r="Z262" s="25" t="str">
        <f t="shared" si="4"/>
        <v>&lt;tr&gt; &lt;td&gt;7849340&lt;/td&gt;&lt;td&gt;SERVO LONG LIFE GREASE-2 X 5 KG&lt;/td&gt;&lt;td&gt;2800&lt;/td&gt;&lt;td&gt;2059.4&lt;/td&gt;&lt;td&gt;40&lt;/td&gt;&lt;td&gt;0&lt;/td&gt;&lt;td&gt;0&lt;/td&gt;&lt;td&gt;1823.4&lt;/td&gt;&lt;td&gt;976.6&lt;/td&gt;&lt;td&gt;195.32&lt;/td&gt;&lt;td&gt;53.5592848524734&lt;/td&gt;&lt;td&gt;3646.8&lt;/td&gt;&lt;/tr&gt;</v>
      </c>
    </row>
    <row r="263" spans="1:26" x14ac:dyDescent="0.3">
      <c r="A263" s="1" t="s">
        <v>13</v>
      </c>
      <c r="B263">
        <f>'Small Pricelist'!A262</f>
        <v>7849341</v>
      </c>
      <c r="C263" s="1" t="s">
        <v>14</v>
      </c>
      <c r="D263" t="str">
        <f>VLOOKUP(B263,'Small Pricelist'!A:L,2,0)</f>
        <v>SERVO LONG LIFE GREASE-20 KG</v>
      </c>
      <c r="E263" s="1" t="s">
        <v>14</v>
      </c>
      <c r="F263">
        <f>VLOOKUP(B263,'Small Pricelist'!A:L,3,0)</f>
        <v>10800</v>
      </c>
      <c r="G263" s="1" t="s">
        <v>14</v>
      </c>
      <c r="H263">
        <f>VLOOKUP(B263,'Small Pricelist'!A:L,4,0)</f>
        <v>8023.3200000000015</v>
      </c>
      <c r="I263" s="1" t="s">
        <v>14</v>
      </c>
      <c r="J263">
        <f>VLOOKUP(B263,'Small Pricelist'!A:L,5,0)</f>
        <v>40</v>
      </c>
      <c r="K263" s="1" t="s">
        <v>14</v>
      </c>
      <c r="L263">
        <f>VLOOKUP(B263,'Small Pricelist'!A:L,6,0)</f>
        <v>0</v>
      </c>
      <c r="M263" s="1" t="s">
        <v>14</v>
      </c>
      <c r="N263">
        <f>VLOOKUP(B263,'Small Pricelist'!A:L,7,0)</f>
        <v>0</v>
      </c>
      <c r="O263" s="1" t="s">
        <v>14</v>
      </c>
      <c r="P263">
        <f>VLOOKUP(B263,'Small Pricelist'!A:L,8,0)</f>
        <v>7079.3200000000015</v>
      </c>
      <c r="Q263" s="1" t="s">
        <v>14</v>
      </c>
      <c r="R263">
        <f>VLOOKUP(B263,'Small Pricelist'!A:L,9,0)</f>
        <v>3720.6799999999985</v>
      </c>
      <c r="S263" s="1" t="s">
        <v>14</v>
      </c>
      <c r="T263">
        <f>VLOOKUP(B263,'Small Pricelist'!A:L,10,0)</f>
        <v>186.03399999999993</v>
      </c>
      <c r="U263" s="1" t="s">
        <v>14</v>
      </c>
      <c r="V263">
        <f>VLOOKUP(B263,'Small Pricelist'!A:L,11,0)</f>
        <v>52.557025251012782</v>
      </c>
      <c r="W263" s="1" t="s">
        <v>14</v>
      </c>
      <c r="X263">
        <f>VLOOKUP(B263,'Small Pricelist'!A:L,12,0)</f>
        <v>7079.3200000000043</v>
      </c>
      <c r="Y263" s="1" t="s">
        <v>12</v>
      </c>
      <c r="Z263" s="25" t="str">
        <f t="shared" si="4"/>
        <v>&lt;tr&gt; &lt;td&gt;7849341&lt;/td&gt;&lt;td&gt;SERVO LONG LIFE GREASE-20 KG&lt;/td&gt;&lt;td&gt;10800&lt;/td&gt;&lt;td&gt;8023.32&lt;/td&gt;&lt;td&gt;40&lt;/td&gt;&lt;td&gt;0&lt;/td&gt;&lt;td&gt;0&lt;/td&gt;&lt;td&gt;7079.32&lt;/td&gt;&lt;td&gt;3720.68&lt;/td&gt;&lt;td&gt;186.034&lt;/td&gt;&lt;td&gt;52.5570252510128&lt;/td&gt;&lt;td&gt;7079.32&lt;/td&gt;&lt;/tr&gt;</v>
      </c>
    </row>
    <row r="264" spans="1:26" x14ac:dyDescent="0.3">
      <c r="A264" s="1" t="s">
        <v>13</v>
      </c>
      <c r="B264">
        <f>'Small Pricelist'!A263</f>
        <v>7849343</v>
      </c>
      <c r="C264" s="1" t="s">
        <v>14</v>
      </c>
      <c r="D264" t="str">
        <f>VLOOKUP(B264,'Small Pricelist'!A:L,2,0)</f>
        <v>SERVO LONG LIFE GREASE-7 KG</v>
      </c>
      <c r="E264" s="1" t="s">
        <v>14</v>
      </c>
      <c r="F264">
        <f>VLOOKUP(B264,'Small Pricelist'!A:L,3,0)</f>
        <v>3865</v>
      </c>
      <c r="G264" s="1" t="s">
        <v>14</v>
      </c>
      <c r="H264">
        <f>VLOOKUP(B264,'Small Pricelist'!A:L,4,0)</f>
        <v>2853.5295000000001</v>
      </c>
      <c r="I264" s="1" t="s">
        <v>14</v>
      </c>
      <c r="J264">
        <f>VLOOKUP(B264,'Small Pricelist'!A:L,5,0)</f>
        <v>40</v>
      </c>
      <c r="K264" s="1" t="s">
        <v>14</v>
      </c>
      <c r="L264">
        <f>VLOOKUP(B264,'Small Pricelist'!A:L,6,0)</f>
        <v>0</v>
      </c>
      <c r="M264" s="1" t="s">
        <v>14</v>
      </c>
      <c r="N264">
        <f>VLOOKUP(B264,'Small Pricelist'!A:L,7,0)</f>
        <v>0</v>
      </c>
      <c r="O264" s="1" t="s">
        <v>14</v>
      </c>
      <c r="P264">
        <f>VLOOKUP(B264,'Small Pricelist'!A:L,8,0)</f>
        <v>2523.1295000000005</v>
      </c>
      <c r="Q264" s="1" t="s">
        <v>14</v>
      </c>
      <c r="R264">
        <f>VLOOKUP(B264,'Small Pricelist'!A:L,9,0)</f>
        <v>1341.8704999999995</v>
      </c>
      <c r="S264" s="1" t="s">
        <v>14</v>
      </c>
      <c r="T264">
        <f>VLOOKUP(B264,'Small Pricelist'!A:L,10,0)</f>
        <v>191.69578571428559</v>
      </c>
      <c r="U264" s="1" t="s">
        <v>14</v>
      </c>
      <c r="V264">
        <f>VLOOKUP(B264,'Small Pricelist'!A:L,11,0)</f>
        <v>53.182783523398193</v>
      </c>
      <c r="W264" s="1" t="s">
        <v>14</v>
      </c>
      <c r="X264">
        <f>VLOOKUP(B264,'Small Pricelist'!A:L,12,0)</f>
        <v>2523.1295000000005</v>
      </c>
      <c r="Y264" s="1" t="s">
        <v>12</v>
      </c>
      <c r="Z264" s="25" t="str">
        <f t="shared" si="4"/>
        <v>&lt;tr&gt; &lt;td&gt;7849343&lt;/td&gt;&lt;td&gt;SERVO LONG LIFE GREASE-7 KG&lt;/td&gt;&lt;td&gt;3865&lt;/td&gt;&lt;td&gt;2853.5295&lt;/td&gt;&lt;td&gt;40&lt;/td&gt;&lt;td&gt;0&lt;/td&gt;&lt;td&gt;0&lt;/td&gt;&lt;td&gt;2523.1295&lt;/td&gt;&lt;td&gt;1341.8705&lt;/td&gt;&lt;td&gt;191.695785714286&lt;/td&gt;&lt;td&gt;53.1827835233982&lt;/td&gt;&lt;td&gt;2523.1295&lt;/td&gt;&lt;/tr&gt;</v>
      </c>
    </row>
    <row r="265" spans="1:26" x14ac:dyDescent="0.3">
      <c r="A265" s="1" t="s">
        <v>13</v>
      </c>
      <c r="B265">
        <f>'Small Pricelist'!A264</f>
        <v>7849344</v>
      </c>
      <c r="C265" s="1" t="s">
        <v>14</v>
      </c>
      <c r="D265" t="str">
        <f>VLOOKUP(B265,'Small Pricelist'!A:L,2,0)</f>
        <v>SERVO LONG LIFE GREASE-10 KG BUC</v>
      </c>
      <c r="E265" s="1" t="s">
        <v>14</v>
      </c>
      <c r="F265">
        <f>VLOOKUP(B265,'Small Pricelist'!A:L,3,0)</f>
        <v>5450</v>
      </c>
      <c r="G265" s="1" t="s">
        <v>14</v>
      </c>
      <c r="H265">
        <f>VLOOKUP(B265,'Small Pricelist'!A:L,4,0)</f>
        <v>4048.26</v>
      </c>
      <c r="I265" s="1" t="s">
        <v>14</v>
      </c>
      <c r="J265">
        <f>VLOOKUP(B265,'Small Pricelist'!A:L,5,0)</f>
        <v>40</v>
      </c>
      <c r="K265" s="1" t="s">
        <v>14</v>
      </c>
      <c r="L265">
        <f>VLOOKUP(B265,'Small Pricelist'!A:L,6,0)</f>
        <v>0</v>
      </c>
      <c r="M265" s="1" t="s">
        <v>14</v>
      </c>
      <c r="N265">
        <f>VLOOKUP(B265,'Small Pricelist'!A:L,7,0)</f>
        <v>0</v>
      </c>
      <c r="O265" s="1" t="s">
        <v>14</v>
      </c>
      <c r="P265">
        <f>VLOOKUP(B265,'Small Pricelist'!A:L,8,0)</f>
        <v>3576.2600000000007</v>
      </c>
      <c r="Q265" s="1" t="s">
        <v>14</v>
      </c>
      <c r="R265">
        <f>VLOOKUP(B265,'Small Pricelist'!A:L,9,0)</f>
        <v>1873.7399999999993</v>
      </c>
      <c r="S265" s="1" t="s">
        <v>14</v>
      </c>
      <c r="T265">
        <f>VLOOKUP(B265,'Small Pricelist'!A:L,10,0)</f>
        <v>187.37399999999991</v>
      </c>
      <c r="U265" s="1" t="s">
        <v>14</v>
      </c>
      <c r="V265">
        <f>VLOOKUP(B265,'Small Pricelist'!A:L,11,0)</f>
        <v>52.393841611068517</v>
      </c>
      <c r="W265" s="1" t="s">
        <v>14</v>
      </c>
      <c r="X265">
        <f>VLOOKUP(B265,'Small Pricelist'!A:L,12,0)</f>
        <v>3576.2600000000007</v>
      </c>
      <c r="Y265" s="1" t="s">
        <v>12</v>
      </c>
      <c r="Z265" s="25" t="str">
        <f t="shared" si="4"/>
        <v>&lt;tr&gt; &lt;td&gt;7849344&lt;/td&gt;&lt;td&gt;SERVO LONG LIFE GREASE-10 KG BUC&lt;/td&gt;&lt;td&gt;5450&lt;/td&gt;&lt;td&gt;4048.26&lt;/td&gt;&lt;td&gt;40&lt;/td&gt;&lt;td&gt;0&lt;/td&gt;&lt;td&gt;0&lt;/td&gt;&lt;td&gt;3576.26&lt;/td&gt;&lt;td&gt;1873.74&lt;/td&gt;&lt;td&gt;187.374&lt;/td&gt;&lt;td&gt;52.3938416110685&lt;/td&gt;&lt;td&gt;3576.26&lt;/td&gt;&lt;/tr&gt;</v>
      </c>
    </row>
    <row r="266" spans="1:26" x14ac:dyDescent="0.3">
      <c r="A266" s="1" t="s">
        <v>13</v>
      </c>
      <c r="B266">
        <f>'Small Pricelist'!A265</f>
        <v>7886339</v>
      </c>
      <c r="C266" s="1" t="s">
        <v>14</v>
      </c>
      <c r="D266" t="str">
        <f>VLOOKUP(B266,'Small Pricelist'!A:L,2,0)</f>
        <v>MAHINDRA EM GREASE-5 KG</v>
      </c>
      <c r="E266" s="1" t="s">
        <v>14</v>
      </c>
      <c r="F266">
        <f>VLOOKUP(B266,'Small Pricelist'!A:L,3,0)</f>
        <v>2175</v>
      </c>
      <c r="G266" s="1" t="s">
        <v>14</v>
      </c>
      <c r="H266">
        <f>VLOOKUP(B266,'Small Pricelist'!A:L,4,0)</f>
        <v>1941.405</v>
      </c>
      <c r="I266" s="1" t="s">
        <v>14</v>
      </c>
      <c r="J266">
        <f>VLOOKUP(B266,'Small Pricelist'!A:L,5,0)</f>
        <v>0</v>
      </c>
      <c r="K266" s="1" t="s">
        <v>14</v>
      </c>
      <c r="L266">
        <f>VLOOKUP(B266,'Small Pricelist'!A:L,6,0)</f>
        <v>0</v>
      </c>
      <c r="M266" s="1" t="s">
        <v>14</v>
      </c>
      <c r="N266">
        <f>VLOOKUP(B266,'Small Pricelist'!A:L,7,0)</f>
        <v>0</v>
      </c>
      <c r="O266" s="1" t="s">
        <v>14</v>
      </c>
      <c r="P266">
        <f>VLOOKUP(B266,'Small Pricelist'!A:L,8,0)</f>
        <v>1941.405</v>
      </c>
      <c r="Q266" s="1" t="s">
        <v>14</v>
      </c>
      <c r="R266">
        <f>VLOOKUP(B266,'Small Pricelist'!A:L,9,0)</f>
        <v>233.59500000000003</v>
      </c>
      <c r="S266" s="1" t="s">
        <v>14</v>
      </c>
      <c r="T266">
        <f>VLOOKUP(B266,'Small Pricelist'!A:L,10,0)</f>
        <v>46.718999999999994</v>
      </c>
      <c r="U266" s="1" t="s">
        <v>14</v>
      </c>
      <c r="V266">
        <f>VLOOKUP(B266,'Small Pricelist'!A:L,11,0)</f>
        <v>12.032265292404213</v>
      </c>
      <c r="W266" s="1" t="s">
        <v>14</v>
      </c>
      <c r="X266">
        <f>VLOOKUP(B266,'Small Pricelist'!A:L,12,0)</f>
        <v>1941.405</v>
      </c>
      <c r="Y266" s="1" t="s">
        <v>12</v>
      </c>
      <c r="Z266" s="25" t="str">
        <f t="shared" si="4"/>
        <v>&lt;tr&gt; &lt;td&gt;7886339&lt;/td&gt;&lt;td&gt;MAHINDRA EM GREASE-5 KG&lt;/td&gt;&lt;td&gt;2175&lt;/td&gt;&lt;td&gt;1941.405&lt;/td&gt;&lt;td&gt;0&lt;/td&gt;&lt;td&gt;0&lt;/td&gt;&lt;td&gt;0&lt;/td&gt;&lt;td&gt;1941.405&lt;/td&gt;&lt;td&gt;233.595&lt;/td&gt;&lt;td&gt;46.719&lt;/td&gt;&lt;td&gt;12.0322652924042&lt;/td&gt;&lt;td&gt;1941.405&lt;/td&gt;&lt;/tr&gt;</v>
      </c>
    </row>
    <row r="267" spans="1:26" x14ac:dyDescent="0.3">
      <c r="A267" s="1" t="s">
        <v>13</v>
      </c>
      <c r="B267">
        <f>'Small Pricelist'!A266</f>
        <v>7886341</v>
      </c>
      <c r="C267" s="1" t="s">
        <v>14</v>
      </c>
      <c r="D267" t="str">
        <f>VLOOKUP(B267,'Small Pricelist'!A:L,2,0)</f>
        <v>MAHINDRA EM GREASE-20 KG</v>
      </c>
      <c r="E267" s="1" t="s">
        <v>14</v>
      </c>
      <c r="F267">
        <f>VLOOKUP(B267,'Small Pricelist'!A:L,3,0)</f>
        <v>8540</v>
      </c>
      <c r="G267" s="1" t="s">
        <v>14</v>
      </c>
      <c r="H267">
        <f>VLOOKUP(B267,'Small Pricelist'!A:L,4,0)</f>
        <v>7622.8040000000001</v>
      </c>
      <c r="I267" s="1" t="s">
        <v>14</v>
      </c>
      <c r="J267">
        <f>VLOOKUP(B267,'Small Pricelist'!A:L,5,0)</f>
        <v>0</v>
      </c>
      <c r="K267" s="1" t="s">
        <v>14</v>
      </c>
      <c r="L267">
        <f>VLOOKUP(B267,'Small Pricelist'!A:L,6,0)</f>
        <v>0</v>
      </c>
      <c r="M267" s="1" t="s">
        <v>14</v>
      </c>
      <c r="N267">
        <f>VLOOKUP(B267,'Small Pricelist'!A:L,7,0)</f>
        <v>0</v>
      </c>
      <c r="O267" s="1" t="s">
        <v>14</v>
      </c>
      <c r="P267">
        <f>VLOOKUP(B267,'Small Pricelist'!A:L,8,0)</f>
        <v>7622.8040000000001</v>
      </c>
      <c r="Q267" s="1" t="s">
        <v>14</v>
      </c>
      <c r="R267">
        <f>VLOOKUP(B267,'Small Pricelist'!A:L,9,0)</f>
        <v>917.19599999999991</v>
      </c>
      <c r="S267" s="1" t="s">
        <v>14</v>
      </c>
      <c r="T267">
        <f>VLOOKUP(B267,'Small Pricelist'!A:L,10,0)</f>
        <v>45.859800000000007</v>
      </c>
      <c r="U267" s="1" t="s">
        <v>14</v>
      </c>
      <c r="V267">
        <f>VLOOKUP(B267,'Small Pricelist'!A:L,11,0)</f>
        <v>12.032265292404212</v>
      </c>
      <c r="W267" s="1" t="s">
        <v>14</v>
      </c>
      <c r="X267">
        <f>VLOOKUP(B267,'Small Pricelist'!A:L,12,0)</f>
        <v>7622.8040000000037</v>
      </c>
      <c r="Y267" s="1" t="s">
        <v>12</v>
      </c>
      <c r="Z267" s="25" t="str">
        <f t="shared" si="4"/>
        <v>&lt;tr&gt; &lt;td&gt;7886341&lt;/td&gt;&lt;td&gt;MAHINDRA EM GREASE-20 KG&lt;/td&gt;&lt;td&gt;8540&lt;/td&gt;&lt;td&gt;7622.804&lt;/td&gt;&lt;td&gt;0&lt;/td&gt;&lt;td&gt;0&lt;/td&gt;&lt;td&gt;0&lt;/td&gt;&lt;td&gt;7622.804&lt;/td&gt;&lt;td&gt;917.196&lt;/td&gt;&lt;td&gt;45.8598&lt;/td&gt;&lt;td&gt;12.0322652924042&lt;/td&gt;&lt;td&gt;7622.804&lt;/td&gt;&lt;/tr&gt;</v>
      </c>
    </row>
    <row r="268" spans="1:26" x14ac:dyDescent="0.3">
      <c r="A268" s="1" t="s">
        <v>13</v>
      </c>
      <c r="B268">
        <f>'Small Pricelist'!A267</f>
        <v>7903303</v>
      </c>
      <c r="C268" s="1" t="s">
        <v>14</v>
      </c>
      <c r="D268" t="str">
        <f>VLOOKUP(B268,'Small Pricelist'!A:L,2,0)</f>
        <v>SERVOGREASE MIRACLE 3-20 X 1/2 KG</v>
      </c>
      <c r="E268" s="1" t="s">
        <v>14</v>
      </c>
      <c r="F268">
        <f>VLOOKUP(B268,'Small Pricelist'!A:L,3,0)</f>
        <v>293</v>
      </c>
      <c r="G268" s="1" t="s">
        <v>14</v>
      </c>
      <c r="H268">
        <f>VLOOKUP(B268,'Small Pricelist'!A:L,4,0)</f>
        <v>215.99959999999999</v>
      </c>
      <c r="I268" s="1" t="s">
        <v>14</v>
      </c>
      <c r="J268">
        <f>VLOOKUP(B268,'Small Pricelist'!A:L,5,0)</f>
        <v>0</v>
      </c>
      <c r="K268" s="1" t="s">
        <v>14</v>
      </c>
      <c r="L268">
        <f>VLOOKUP(B268,'Small Pricelist'!A:L,6,0)</f>
        <v>0</v>
      </c>
      <c r="M268" s="1" t="s">
        <v>14</v>
      </c>
      <c r="N268">
        <f>VLOOKUP(B268,'Small Pricelist'!A:L,7,0)</f>
        <v>0</v>
      </c>
      <c r="O268" s="1" t="s">
        <v>14</v>
      </c>
      <c r="P268">
        <f>VLOOKUP(B268,'Small Pricelist'!A:L,8,0)</f>
        <v>215.99959999999999</v>
      </c>
      <c r="Q268" s="1" t="s">
        <v>14</v>
      </c>
      <c r="R268">
        <f>VLOOKUP(B268,'Small Pricelist'!A:L,9,0)</f>
        <v>77.000400000000013</v>
      </c>
      <c r="S268" s="1" t="s">
        <v>14</v>
      </c>
      <c r="T268">
        <f>VLOOKUP(B268,'Small Pricelist'!A:L,10,0)</f>
        <v>154.00080000000003</v>
      </c>
      <c r="U268" s="1" t="s">
        <v>14</v>
      </c>
      <c r="V268">
        <f>VLOOKUP(B268,'Small Pricelist'!A:L,11,0)</f>
        <v>35.648399348887693</v>
      </c>
      <c r="W268" s="1" t="s">
        <v>14</v>
      </c>
      <c r="X268">
        <f>VLOOKUP(B268,'Small Pricelist'!A:L,12,0)</f>
        <v>4319.9919999999993</v>
      </c>
      <c r="Y268" s="1" t="s">
        <v>12</v>
      </c>
      <c r="Z268" s="25" t="str">
        <f t="shared" si="4"/>
        <v>&lt;tr&gt; &lt;td&gt;7903303&lt;/td&gt;&lt;td&gt;SERVOGREASE MIRACLE 3-20 X 1/2 KG&lt;/td&gt;&lt;td&gt;293&lt;/td&gt;&lt;td&gt;215.9996&lt;/td&gt;&lt;td&gt;0&lt;/td&gt;&lt;td&gt;0&lt;/td&gt;&lt;td&gt;0&lt;/td&gt;&lt;td&gt;215.9996&lt;/td&gt;&lt;td&gt;77.0004&lt;/td&gt;&lt;td&gt;154.0008&lt;/td&gt;&lt;td&gt;35.6483993488877&lt;/td&gt;&lt;td&gt;4319.992&lt;/td&gt;&lt;/tr&gt;</v>
      </c>
    </row>
    <row r="269" spans="1:26" x14ac:dyDescent="0.3">
      <c r="A269" s="1" t="s">
        <v>13</v>
      </c>
      <c r="B269">
        <f>'Small Pricelist'!A268</f>
        <v>7903313</v>
      </c>
      <c r="C269" s="1" t="s">
        <v>14</v>
      </c>
      <c r="D269" t="str">
        <f>VLOOKUP(B269,'Small Pricelist'!A:L,2,0)</f>
        <v>SERVOGREASE MIRACLE 3-10 X 1 KG</v>
      </c>
      <c r="E269" s="1" t="s">
        <v>14</v>
      </c>
      <c r="F269">
        <f>VLOOKUP(B269,'Small Pricelist'!A:L,3,0)</f>
        <v>580</v>
      </c>
      <c r="G269" s="1" t="s">
        <v>14</v>
      </c>
      <c r="H269">
        <f>VLOOKUP(B269,'Small Pricelist'!A:L,4,0)</f>
        <v>426.01</v>
      </c>
      <c r="I269" s="1" t="s">
        <v>14</v>
      </c>
      <c r="J269">
        <f>VLOOKUP(B269,'Small Pricelist'!A:L,5,0)</f>
        <v>50</v>
      </c>
      <c r="K269" s="1" t="s">
        <v>14</v>
      </c>
      <c r="L269">
        <f>VLOOKUP(B269,'Small Pricelist'!A:L,6,0)</f>
        <v>0</v>
      </c>
      <c r="M269" s="1" t="s">
        <v>14</v>
      </c>
      <c r="N269">
        <f>VLOOKUP(B269,'Small Pricelist'!A:L,7,0)</f>
        <v>0</v>
      </c>
      <c r="O269" s="1" t="s">
        <v>14</v>
      </c>
      <c r="P269">
        <f>VLOOKUP(B269,'Small Pricelist'!A:L,8,0)</f>
        <v>367.01</v>
      </c>
      <c r="Q269" s="1" t="s">
        <v>14</v>
      </c>
      <c r="R269">
        <f>VLOOKUP(B269,'Small Pricelist'!A:L,9,0)</f>
        <v>212.99</v>
      </c>
      <c r="S269" s="1" t="s">
        <v>14</v>
      </c>
      <c r="T269">
        <f>VLOOKUP(B269,'Small Pricelist'!A:L,10,0)</f>
        <v>212.99</v>
      </c>
      <c r="U269" s="1" t="s">
        <v>14</v>
      </c>
      <c r="V269">
        <f>VLOOKUP(B269,'Small Pricelist'!A:L,11,0)</f>
        <v>58.033841039753689</v>
      </c>
      <c r="W269" s="1" t="s">
        <v>14</v>
      </c>
      <c r="X269">
        <f>VLOOKUP(B269,'Small Pricelist'!A:L,12,0)</f>
        <v>3670.1</v>
      </c>
      <c r="Y269" s="1" t="s">
        <v>12</v>
      </c>
      <c r="Z269" s="25" t="str">
        <f t="shared" si="4"/>
        <v>&lt;tr&gt; &lt;td&gt;7903313&lt;/td&gt;&lt;td&gt;SERVOGREASE MIRACLE 3-10 X 1 KG&lt;/td&gt;&lt;td&gt;580&lt;/td&gt;&lt;td&gt;426.01&lt;/td&gt;&lt;td&gt;50&lt;/td&gt;&lt;td&gt;0&lt;/td&gt;&lt;td&gt;0&lt;/td&gt;&lt;td&gt;367.01&lt;/td&gt;&lt;td&gt;212.99&lt;/td&gt;&lt;td&gt;212.99&lt;/td&gt;&lt;td&gt;58.0338410397537&lt;/td&gt;&lt;td&gt;3670.1&lt;/td&gt;&lt;/tr&gt;</v>
      </c>
    </row>
    <row r="270" spans="1:26" x14ac:dyDescent="0.3">
      <c r="A270" s="1" t="s">
        <v>13</v>
      </c>
      <c r="B270">
        <f>'Small Pricelist'!A269</f>
        <v>7903327</v>
      </c>
      <c r="C270" s="1" t="s">
        <v>14</v>
      </c>
      <c r="D270" t="str">
        <f>VLOOKUP(B270,'Small Pricelist'!A:L,2,0)</f>
        <v>SERVOGREASE MIRACLE 3-6 X 2 KG</v>
      </c>
      <c r="E270" s="1" t="s">
        <v>14</v>
      </c>
      <c r="F270">
        <f>VLOOKUP(B270,'Small Pricelist'!A:L,3,0)</f>
        <v>1080</v>
      </c>
      <c r="G270" s="1" t="s">
        <v>14</v>
      </c>
      <c r="H270">
        <f>VLOOKUP(B270,'Small Pricelist'!A:L,4,0)</f>
        <v>794.12399999999991</v>
      </c>
      <c r="I270" s="1" t="s">
        <v>14</v>
      </c>
      <c r="J270">
        <f>VLOOKUP(B270,'Small Pricelist'!A:L,5,0)</f>
        <v>0</v>
      </c>
      <c r="K270" s="1" t="s">
        <v>14</v>
      </c>
      <c r="L270">
        <f>VLOOKUP(B270,'Small Pricelist'!A:L,6,0)</f>
        <v>0</v>
      </c>
      <c r="M270" s="1" t="s">
        <v>14</v>
      </c>
      <c r="N270">
        <f>VLOOKUP(B270,'Small Pricelist'!A:L,7,0)</f>
        <v>0</v>
      </c>
      <c r="O270" s="1" t="s">
        <v>14</v>
      </c>
      <c r="P270">
        <f>VLOOKUP(B270,'Small Pricelist'!A:L,8,0)</f>
        <v>794.12399999999991</v>
      </c>
      <c r="Q270" s="1" t="s">
        <v>14</v>
      </c>
      <c r="R270">
        <f>VLOOKUP(B270,'Small Pricelist'!A:L,9,0)</f>
        <v>285.87600000000009</v>
      </c>
      <c r="S270" s="1" t="s">
        <v>14</v>
      </c>
      <c r="T270">
        <f>VLOOKUP(B270,'Small Pricelist'!A:L,10,0)</f>
        <v>142.93800000000005</v>
      </c>
      <c r="U270" s="1" t="s">
        <v>14</v>
      </c>
      <c r="V270">
        <f>VLOOKUP(B270,'Small Pricelist'!A:L,11,0)</f>
        <v>35.998912008703947</v>
      </c>
      <c r="W270" s="1" t="s">
        <v>14</v>
      </c>
      <c r="X270">
        <f>VLOOKUP(B270,'Small Pricelist'!A:L,12,0)</f>
        <v>4764.7440000000006</v>
      </c>
      <c r="Y270" s="1" t="s">
        <v>12</v>
      </c>
      <c r="Z270" s="25" t="str">
        <f t="shared" si="4"/>
        <v>&lt;tr&gt; &lt;td&gt;7903327&lt;/td&gt;&lt;td&gt;SERVOGREASE MIRACLE 3-6 X 2 KG&lt;/td&gt;&lt;td&gt;1080&lt;/td&gt;&lt;td&gt;794.124&lt;/td&gt;&lt;td&gt;0&lt;/td&gt;&lt;td&gt;0&lt;/td&gt;&lt;td&gt;0&lt;/td&gt;&lt;td&gt;794.124&lt;/td&gt;&lt;td&gt;285.876&lt;/td&gt;&lt;td&gt;142.938&lt;/td&gt;&lt;td&gt;35.9989120087039&lt;/td&gt;&lt;td&gt;4764.744&lt;/td&gt;&lt;/tr&gt;</v>
      </c>
    </row>
    <row r="271" spans="1:26" x14ac:dyDescent="0.3">
      <c r="A271" s="1" t="s">
        <v>13</v>
      </c>
      <c r="B271">
        <f>'Small Pricelist'!A270</f>
        <v>7903337</v>
      </c>
      <c r="C271" s="1" t="s">
        <v>14</v>
      </c>
      <c r="D271" t="str">
        <f>VLOOKUP(B271,'Small Pricelist'!A:L,2,0)</f>
        <v>SERVOGREASE MIRACLE 3-4 X 3 KG</v>
      </c>
      <c r="E271" s="1" t="s">
        <v>14</v>
      </c>
      <c r="F271">
        <f>VLOOKUP(B271,'Small Pricelist'!A:L,3,0)</f>
        <v>1605</v>
      </c>
      <c r="G271" s="1" t="s">
        <v>14</v>
      </c>
      <c r="H271">
        <f>VLOOKUP(B271,'Small Pricelist'!A:L,4,0)</f>
        <v>1182.0825000000002</v>
      </c>
      <c r="I271" s="1" t="s">
        <v>14</v>
      </c>
      <c r="J271">
        <f>VLOOKUP(B271,'Small Pricelist'!A:L,5,0)</f>
        <v>0</v>
      </c>
      <c r="K271" s="1" t="s">
        <v>14</v>
      </c>
      <c r="L271">
        <f>VLOOKUP(B271,'Small Pricelist'!A:L,6,0)</f>
        <v>0</v>
      </c>
      <c r="M271" s="1" t="s">
        <v>14</v>
      </c>
      <c r="N271">
        <f>VLOOKUP(B271,'Small Pricelist'!A:L,7,0)</f>
        <v>0</v>
      </c>
      <c r="O271" s="1" t="s">
        <v>14</v>
      </c>
      <c r="P271">
        <f>VLOOKUP(B271,'Small Pricelist'!A:L,8,0)</f>
        <v>1182.0825000000002</v>
      </c>
      <c r="Q271" s="1" t="s">
        <v>14</v>
      </c>
      <c r="R271">
        <f>VLOOKUP(B271,'Small Pricelist'!A:L,9,0)</f>
        <v>422.91749999999979</v>
      </c>
      <c r="S271" s="1" t="s">
        <v>14</v>
      </c>
      <c r="T271">
        <f>VLOOKUP(B271,'Small Pricelist'!A:L,10,0)</f>
        <v>140.97249999999991</v>
      </c>
      <c r="U271" s="1" t="s">
        <v>14</v>
      </c>
      <c r="V271">
        <f>VLOOKUP(B271,'Small Pricelist'!A:L,11,0)</f>
        <v>35.777325186693801</v>
      </c>
      <c r="W271" s="1" t="s">
        <v>14</v>
      </c>
      <c r="X271">
        <f>VLOOKUP(B271,'Small Pricelist'!A:L,12,0)</f>
        <v>4728.33</v>
      </c>
      <c r="Y271" s="1" t="s">
        <v>12</v>
      </c>
      <c r="Z271" s="25" t="str">
        <f t="shared" si="4"/>
        <v>&lt;tr&gt; &lt;td&gt;7903337&lt;/td&gt;&lt;td&gt;SERVOGREASE MIRACLE 3-4 X 3 KG&lt;/td&gt;&lt;td&gt;1605&lt;/td&gt;&lt;td&gt;1182.0825&lt;/td&gt;&lt;td&gt;0&lt;/td&gt;&lt;td&gt;0&lt;/td&gt;&lt;td&gt;0&lt;/td&gt;&lt;td&gt;1182.0825&lt;/td&gt;&lt;td&gt;422.9175&lt;/td&gt;&lt;td&gt;140.9725&lt;/td&gt;&lt;td&gt;35.7773251866938&lt;/td&gt;&lt;td&gt;4728.33&lt;/td&gt;&lt;/tr&gt;</v>
      </c>
    </row>
    <row r="272" spans="1:26" x14ac:dyDescent="0.3">
      <c r="A272" s="1" t="s">
        <v>13</v>
      </c>
      <c r="B272">
        <f>'Small Pricelist'!A271</f>
        <v>7903339</v>
      </c>
      <c r="C272" s="1" t="s">
        <v>14</v>
      </c>
      <c r="D272" t="str">
        <f>VLOOKUP(B272,'Small Pricelist'!A:L,2,0)</f>
        <v xml:space="preserve">SERVOGREASE MIRACLE 3-5 KG </v>
      </c>
      <c r="E272" s="1" t="s">
        <v>14</v>
      </c>
      <c r="F272">
        <f>VLOOKUP(B272,'Small Pricelist'!A:L,3,0)</f>
        <v>2800</v>
      </c>
      <c r="G272" s="1" t="s">
        <v>14</v>
      </c>
      <c r="H272">
        <f>VLOOKUP(B272,'Small Pricelist'!A:L,4,0)</f>
        <v>2070.6</v>
      </c>
      <c r="I272" s="1" t="s">
        <v>14</v>
      </c>
      <c r="J272">
        <f>VLOOKUP(B272,'Small Pricelist'!A:L,5,0)</f>
        <v>0</v>
      </c>
      <c r="K272" s="1" t="s">
        <v>14</v>
      </c>
      <c r="L272">
        <f>VLOOKUP(B272,'Small Pricelist'!A:L,6,0)</f>
        <v>0</v>
      </c>
      <c r="M272" s="1" t="s">
        <v>14</v>
      </c>
      <c r="N272">
        <f>VLOOKUP(B272,'Small Pricelist'!A:L,7,0)</f>
        <v>0</v>
      </c>
      <c r="O272" s="1" t="s">
        <v>14</v>
      </c>
      <c r="P272">
        <f>VLOOKUP(B272,'Small Pricelist'!A:L,8,0)</f>
        <v>2070.6</v>
      </c>
      <c r="Q272" s="1" t="s">
        <v>14</v>
      </c>
      <c r="R272">
        <f>VLOOKUP(B272,'Small Pricelist'!A:L,9,0)</f>
        <v>729.40000000000009</v>
      </c>
      <c r="S272" s="1" t="s">
        <v>14</v>
      </c>
      <c r="T272">
        <f>VLOOKUP(B272,'Small Pricelist'!A:L,10,0)</f>
        <v>145.88</v>
      </c>
      <c r="U272" s="1" t="s">
        <v>14</v>
      </c>
      <c r="V272">
        <f>VLOOKUP(B272,'Small Pricelist'!A:L,11,0)</f>
        <v>35.226504394861394</v>
      </c>
      <c r="W272" s="1" t="s">
        <v>14</v>
      </c>
      <c r="X272">
        <f>VLOOKUP(B272,'Small Pricelist'!A:L,12,0)</f>
        <v>2070.6</v>
      </c>
      <c r="Y272" s="1" t="s">
        <v>12</v>
      </c>
      <c r="Z272" s="25" t="str">
        <f t="shared" si="4"/>
        <v>&lt;tr&gt; &lt;td&gt;7903339&lt;/td&gt;&lt;td&gt;SERVOGREASE MIRACLE 3-5 KG &lt;/td&gt;&lt;td&gt;2800&lt;/td&gt;&lt;td&gt;2070.6&lt;/td&gt;&lt;td&gt;0&lt;/td&gt;&lt;td&gt;0&lt;/td&gt;&lt;td&gt;0&lt;/td&gt;&lt;td&gt;2070.6&lt;/td&gt;&lt;td&gt;729.4&lt;/td&gt;&lt;td&gt;145.88&lt;/td&gt;&lt;td&gt;35.2265043948614&lt;/td&gt;&lt;td&gt;2070.6&lt;/td&gt;&lt;/tr&gt;</v>
      </c>
    </row>
    <row r="273" spans="1:26" x14ac:dyDescent="0.3">
      <c r="A273" s="1" t="s">
        <v>13</v>
      </c>
      <c r="B273">
        <f>'Small Pricelist'!A272</f>
        <v>7903341</v>
      </c>
      <c r="C273" s="1" t="s">
        <v>14</v>
      </c>
      <c r="D273" t="str">
        <f>VLOOKUP(B273,'Small Pricelist'!A:L,2,0)</f>
        <v>SERVOGREASE MIRACLE 3-20 KG</v>
      </c>
      <c r="E273" s="1" t="s">
        <v>14</v>
      </c>
      <c r="F273">
        <f>VLOOKUP(B273,'Small Pricelist'!A:L,3,0)</f>
        <v>10800</v>
      </c>
      <c r="G273" s="1" t="s">
        <v>14</v>
      </c>
      <c r="H273">
        <f>VLOOKUP(B273,'Small Pricelist'!A:L,4,0)</f>
        <v>8003.88</v>
      </c>
      <c r="I273" s="1" t="s">
        <v>14</v>
      </c>
      <c r="J273">
        <f>VLOOKUP(B273,'Small Pricelist'!A:L,5,0)</f>
        <v>0</v>
      </c>
      <c r="K273" s="1" t="s">
        <v>14</v>
      </c>
      <c r="L273">
        <f>VLOOKUP(B273,'Small Pricelist'!A:L,6,0)</f>
        <v>0</v>
      </c>
      <c r="M273" s="1" t="s">
        <v>14</v>
      </c>
      <c r="N273">
        <f>VLOOKUP(B273,'Small Pricelist'!A:L,7,0)</f>
        <v>0</v>
      </c>
      <c r="O273" s="1" t="s">
        <v>14</v>
      </c>
      <c r="P273">
        <f>VLOOKUP(B273,'Small Pricelist'!A:L,8,0)</f>
        <v>8003.88</v>
      </c>
      <c r="Q273" s="1" t="s">
        <v>14</v>
      </c>
      <c r="R273">
        <f>VLOOKUP(B273,'Small Pricelist'!A:L,9,0)</f>
        <v>2796.12</v>
      </c>
      <c r="S273" s="1" t="s">
        <v>14</v>
      </c>
      <c r="T273">
        <f>VLOOKUP(B273,'Small Pricelist'!A:L,10,0)</f>
        <v>139.80599999999998</v>
      </c>
      <c r="U273" s="1" t="s">
        <v>14</v>
      </c>
      <c r="V273">
        <f>VLOOKUP(B273,'Small Pricelist'!A:L,11,0)</f>
        <v>34.934556739981112</v>
      </c>
      <c r="W273" s="1" t="s">
        <v>14</v>
      </c>
      <c r="X273">
        <f>VLOOKUP(B273,'Small Pricelist'!A:L,12,0)</f>
        <v>8003.8800000000037</v>
      </c>
      <c r="Y273" s="1" t="s">
        <v>12</v>
      </c>
      <c r="Z273" s="25" t="str">
        <f t="shared" si="4"/>
        <v>&lt;tr&gt; &lt;td&gt;7903341&lt;/td&gt;&lt;td&gt;SERVOGREASE MIRACLE 3-20 KG&lt;/td&gt;&lt;td&gt;10800&lt;/td&gt;&lt;td&gt;8003.88&lt;/td&gt;&lt;td&gt;0&lt;/td&gt;&lt;td&gt;0&lt;/td&gt;&lt;td&gt;0&lt;/td&gt;&lt;td&gt;8003.88&lt;/td&gt;&lt;td&gt;2796.12&lt;/td&gt;&lt;td&gt;139.806&lt;/td&gt;&lt;td&gt;34.9345567399811&lt;/td&gt;&lt;td&gt;8003.88&lt;/td&gt;&lt;/tr&gt;</v>
      </c>
    </row>
    <row r="274" spans="1:26" x14ac:dyDescent="0.3">
      <c r="A274" s="1" t="s">
        <v>13</v>
      </c>
      <c r="B274">
        <f>'Small Pricelist'!A273</f>
        <v>7903343</v>
      </c>
      <c r="C274" s="1" t="s">
        <v>14</v>
      </c>
      <c r="D274" t="str">
        <f>VLOOKUP(B274,'Small Pricelist'!A:L,2,0)</f>
        <v xml:space="preserve">SERVOGREASE MIRACLE 3-7 KG </v>
      </c>
      <c r="E274" s="1" t="s">
        <v>14</v>
      </c>
      <c r="F274">
        <f>VLOOKUP(B274,'Small Pricelist'!A:L,3,0)</f>
        <v>3885</v>
      </c>
      <c r="G274" s="1" t="s">
        <v>14</v>
      </c>
      <c r="H274">
        <f>VLOOKUP(B274,'Small Pricelist'!A:L,4,0)</f>
        <v>2884.6125000000002</v>
      </c>
      <c r="I274" s="1" t="s">
        <v>14</v>
      </c>
      <c r="J274">
        <f>VLOOKUP(B274,'Small Pricelist'!A:L,5,0)</f>
        <v>0</v>
      </c>
      <c r="K274" s="1" t="s">
        <v>14</v>
      </c>
      <c r="L274">
        <f>VLOOKUP(B274,'Small Pricelist'!A:L,6,0)</f>
        <v>0</v>
      </c>
      <c r="M274" s="1" t="s">
        <v>14</v>
      </c>
      <c r="N274">
        <f>VLOOKUP(B274,'Small Pricelist'!A:L,7,0)</f>
        <v>0</v>
      </c>
      <c r="O274" s="1" t="s">
        <v>14</v>
      </c>
      <c r="P274">
        <f>VLOOKUP(B274,'Small Pricelist'!A:L,8,0)</f>
        <v>2884.6125000000002</v>
      </c>
      <c r="Q274" s="1" t="s">
        <v>14</v>
      </c>
      <c r="R274">
        <f>VLOOKUP(B274,'Small Pricelist'!A:L,9,0)</f>
        <v>1000.3874999999998</v>
      </c>
      <c r="S274" s="1" t="s">
        <v>14</v>
      </c>
      <c r="T274">
        <f>VLOOKUP(B274,'Small Pricelist'!A:L,10,0)</f>
        <v>142.91249999999997</v>
      </c>
      <c r="U274" s="1" t="s">
        <v>14</v>
      </c>
      <c r="V274">
        <f>VLOOKUP(B274,'Small Pricelist'!A:L,11,0)</f>
        <v>34.680134680134671</v>
      </c>
      <c r="W274" s="1" t="s">
        <v>14</v>
      </c>
      <c r="X274">
        <f>VLOOKUP(B274,'Small Pricelist'!A:L,12,0)</f>
        <v>2884.6125000000002</v>
      </c>
      <c r="Y274" s="1" t="s">
        <v>12</v>
      </c>
      <c r="Z274" s="25" t="str">
        <f t="shared" si="4"/>
        <v>&lt;tr&gt; &lt;td&gt;7903343&lt;/td&gt;&lt;td&gt;SERVOGREASE MIRACLE 3-7 KG &lt;/td&gt;&lt;td&gt;3885&lt;/td&gt;&lt;td&gt;2884.6125&lt;/td&gt;&lt;td&gt;0&lt;/td&gt;&lt;td&gt;0&lt;/td&gt;&lt;td&gt;0&lt;/td&gt;&lt;td&gt;2884.6125&lt;/td&gt;&lt;td&gt;1000.3875&lt;/td&gt;&lt;td&gt;142.9125&lt;/td&gt;&lt;td&gt;34.6801346801347&lt;/td&gt;&lt;td&gt;2884.6125&lt;/td&gt;&lt;/tr&gt;</v>
      </c>
    </row>
    <row r="275" spans="1:26" x14ac:dyDescent="0.3">
      <c r="A275" s="1" t="s">
        <v>13</v>
      </c>
      <c r="B275">
        <f>'Small Pricelist'!A274</f>
        <v>7903344</v>
      </c>
      <c r="C275" s="1" t="s">
        <v>14</v>
      </c>
      <c r="D275" t="str">
        <f>VLOOKUP(B275,'Small Pricelist'!A:L,2,0)</f>
        <v xml:space="preserve">SERVOGREASE MIRACLE 3-10 KG BUC </v>
      </c>
      <c r="E275" s="1" t="s">
        <v>14</v>
      </c>
      <c r="F275">
        <f>VLOOKUP(B275,'Small Pricelist'!A:L,3,0)</f>
        <v>5500</v>
      </c>
      <c r="G275" s="1" t="s">
        <v>14</v>
      </c>
      <c r="H275">
        <f>VLOOKUP(B275,'Small Pricelist'!A:L,4,0)</f>
        <v>4090.9</v>
      </c>
      <c r="I275" s="1" t="s">
        <v>14</v>
      </c>
      <c r="J275">
        <f>VLOOKUP(B275,'Small Pricelist'!A:L,5,0)</f>
        <v>0</v>
      </c>
      <c r="K275" s="1" t="s">
        <v>14</v>
      </c>
      <c r="L275">
        <f>VLOOKUP(B275,'Small Pricelist'!A:L,6,0)</f>
        <v>0</v>
      </c>
      <c r="M275" s="1" t="s">
        <v>14</v>
      </c>
      <c r="N275">
        <f>VLOOKUP(B275,'Small Pricelist'!A:L,7,0)</f>
        <v>0</v>
      </c>
      <c r="O275" s="1" t="s">
        <v>14</v>
      </c>
      <c r="P275">
        <f>VLOOKUP(B275,'Small Pricelist'!A:L,8,0)</f>
        <v>4090.9</v>
      </c>
      <c r="Q275" s="1" t="s">
        <v>14</v>
      </c>
      <c r="R275">
        <f>VLOOKUP(B275,'Small Pricelist'!A:L,9,0)</f>
        <v>1409.1</v>
      </c>
      <c r="S275" s="1" t="s">
        <v>14</v>
      </c>
      <c r="T275">
        <f>VLOOKUP(B275,'Small Pricelist'!A:L,10,0)</f>
        <v>140.90999999999997</v>
      </c>
      <c r="U275" s="1" t="s">
        <v>14</v>
      </c>
      <c r="V275">
        <f>VLOOKUP(B275,'Small Pricelist'!A:L,11,0)</f>
        <v>34.444743210540466</v>
      </c>
      <c r="W275" s="1" t="s">
        <v>14</v>
      </c>
      <c r="X275">
        <f>VLOOKUP(B275,'Small Pricelist'!A:L,12,0)</f>
        <v>4090.9</v>
      </c>
      <c r="Y275" s="1" t="s">
        <v>12</v>
      </c>
      <c r="Z275" s="25" t="str">
        <f t="shared" si="4"/>
        <v>&lt;tr&gt; &lt;td&gt;7903344&lt;/td&gt;&lt;td&gt;SERVOGREASE MIRACLE 3-10 KG BUC &lt;/td&gt;&lt;td&gt;5500&lt;/td&gt;&lt;td&gt;4090.9&lt;/td&gt;&lt;td&gt;0&lt;/td&gt;&lt;td&gt;0&lt;/td&gt;&lt;td&gt;0&lt;/td&gt;&lt;td&gt;4090.9&lt;/td&gt;&lt;td&gt;1409.1&lt;/td&gt;&lt;td&gt;140.91&lt;/td&gt;&lt;td&gt;34.4447432105405&lt;/td&gt;&lt;td&gt;4090.9&lt;/td&gt;&lt;/tr&gt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11E0-66F4-4629-85AA-3BD9CC23AE3F}">
  <dimension ref="A1:I79"/>
  <sheetViews>
    <sheetView workbookViewId="0">
      <selection activeCell="K17" sqref="K17"/>
    </sheetView>
  </sheetViews>
  <sheetFormatPr defaultRowHeight="14.4" x14ac:dyDescent="0.3"/>
  <cols>
    <col min="1" max="1" width="9.5546875" bestFit="1" customWidth="1"/>
    <col min="2" max="2" width="54.44140625" bestFit="1" customWidth="1"/>
  </cols>
  <sheetData>
    <row r="1" spans="1:9" ht="40.200000000000003" x14ac:dyDescent="0.3">
      <c r="A1" s="3" t="s">
        <v>1</v>
      </c>
      <c r="B1" s="3" t="s">
        <v>3</v>
      </c>
      <c r="C1" s="4" t="s">
        <v>5</v>
      </c>
      <c r="D1" s="3" t="s">
        <v>6</v>
      </c>
      <c r="E1" s="3" t="s">
        <v>7</v>
      </c>
      <c r="F1" s="4" t="s">
        <v>8</v>
      </c>
      <c r="G1" s="3" t="s">
        <v>9</v>
      </c>
      <c r="H1" s="4" t="s">
        <v>10</v>
      </c>
      <c r="I1" s="5" t="s">
        <v>11</v>
      </c>
    </row>
    <row r="2" spans="1:9" ht="15.6" x14ac:dyDescent="0.3">
      <c r="A2" s="24">
        <v>7403401</v>
      </c>
      <c r="B2" s="6" t="s">
        <v>90</v>
      </c>
      <c r="C2" s="6">
        <v>210</v>
      </c>
      <c r="D2" s="7">
        <v>160</v>
      </c>
      <c r="E2" s="7">
        <v>0</v>
      </c>
      <c r="F2" s="7">
        <v>0</v>
      </c>
      <c r="G2" s="7">
        <v>0</v>
      </c>
      <c r="H2" s="7">
        <v>188.79999999999998</v>
      </c>
      <c r="I2" s="8">
        <v>39648</v>
      </c>
    </row>
    <row r="3" spans="1:9" ht="15.6" x14ac:dyDescent="0.3">
      <c r="A3" s="23">
        <v>2960401</v>
      </c>
      <c r="B3" s="6" t="s">
        <v>15</v>
      </c>
      <c r="C3" s="6">
        <v>210</v>
      </c>
      <c r="D3" s="7">
        <v>635</v>
      </c>
      <c r="E3" s="7">
        <v>0</v>
      </c>
      <c r="F3" s="7">
        <v>0</v>
      </c>
      <c r="G3" s="7">
        <v>0</v>
      </c>
      <c r="H3" s="7">
        <v>749.3</v>
      </c>
      <c r="I3" s="8">
        <v>157353</v>
      </c>
    </row>
    <row r="4" spans="1:9" ht="15.6" x14ac:dyDescent="0.3">
      <c r="A4" s="23">
        <v>7427401</v>
      </c>
      <c r="B4" s="6" t="s">
        <v>16</v>
      </c>
      <c r="C4" s="6">
        <v>210</v>
      </c>
      <c r="D4" s="7">
        <v>325</v>
      </c>
      <c r="E4" s="7">
        <v>0</v>
      </c>
      <c r="F4" s="7">
        <v>0</v>
      </c>
      <c r="G4" s="7">
        <v>0</v>
      </c>
      <c r="H4" s="7">
        <v>383.5</v>
      </c>
      <c r="I4" s="8">
        <v>80535</v>
      </c>
    </row>
    <row r="5" spans="1:9" ht="15.6" x14ac:dyDescent="0.3">
      <c r="A5" s="23">
        <v>7428401</v>
      </c>
      <c r="B5" s="6" t="s">
        <v>17</v>
      </c>
      <c r="C5" s="6">
        <v>210</v>
      </c>
      <c r="D5" s="7">
        <v>358</v>
      </c>
      <c r="E5" s="7">
        <v>0</v>
      </c>
      <c r="F5" s="7">
        <v>0</v>
      </c>
      <c r="G5" s="7">
        <v>0</v>
      </c>
      <c r="H5" s="7">
        <v>422.44</v>
      </c>
      <c r="I5" s="8">
        <v>88712.4</v>
      </c>
    </row>
    <row r="6" spans="1:9" ht="15.6" x14ac:dyDescent="0.3">
      <c r="A6" s="23">
        <v>7670401</v>
      </c>
      <c r="B6" s="6" t="s">
        <v>18</v>
      </c>
      <c r="C6" s="6">
        <v>210</v>
      </c>
      <c r="D6" s="7">
        <v>245</v>
      </c>
      <c r="E6" s="7">
        <v>0</v>
      </c>
      <c r="F6" s="7">
        <v>0</v>
      </c>
      <c r="G6" s="7">
        <v>0</v>
      </c>
      <c r="H6" s="7">
        <v>289.09999999999997</v>
      </c>
      <c r="I6" s="8">
        <v>60710.999999999993</v>
      </c>
    </row>
    <row r="7" spans="1:9" ht="15.6" x14ac:dyDescent="0.3">
      <c r="A7" s="23">
        <v>7688401</v>
      </c>
      <c r="B7" s="6" t="s">
        <v>19</v>
      </c>
      <c r="C7" s="6">
        <v>210</v>
      </c>
      <c r="D7" s="7">
        <v>258</v>
      </c>
      <c r="E7" s="7">
        <v>0</v>
      </c>
      <c r="F7" s="7">
        <v>0</v>
      </c>
      <c r="G7" s="7">
        <v>0</v>
      </c>
      <c r="H7" s="7">
        <v>304.44</v>
      </c>
      <c r="I7" s="8">
        <v>63932.4</v>
      </c>
    </row>
    <row r="8" spans="1:9" ht="15.6" x14ac:dyDescent="0.3">
      <c r="A8" s="23">
        <v>2968401</v>
      </c>
      <c r="B8" s="6" t="s">
        <v>20</v>
      </c>
      <c r="C8" s="6">
        <v>210</v>
      </c>
      <c r="D8" s="7">
        <v>260</v>
      </c>
      <c r="E8" s="7">
        <v>0</v>
      </c>
      <c r="F8" s="7">
        <v>0</v>
      </c>
      <c r="G8" s="7">
        <v>0</v>
      </c>
      <c r="H8" s="7">
        <v>306.8</v>
      </c>
      <c r="I8" s="8">
        <v>64428</v>
      </c>
    </row>
    <row r="9" spans="1:9" ht="15.6" x14ac:dyDescent="0.3">
      <c r="A9" s="23">
        <v>7205401</v>
      </c>
      <c r="B9" s="6" t="s">
        <v>21</v>
      </c>
      <c r="C9" s="6">
        <v>210</v>
      </c>
      <c r="D9" s="7">
        <v>345</v>
      </c>
      <c r="E9" s="7">
        <v>0</v>
      </c>
      <c r="F9" s="7">
        <v>0</v>
      </c>
      <c r="G9" s="7">
        <v>0</v>
      </c>
      <c r="H9" s="7">
        <v>407.09999999999997</v>
      </c>
      <c r="I9" s="8">
        <v>85491</v>
      </c>
    </row>
    <row r="10" spans="1:9" ht="15.6" x14ac:dyDescent="0.3">
      <c r="A10" s="23">
        <v>7420401</v>
      </c>
      <c r="B10" s="6" t="s">
        <v>22</v>
      </c>
      <c r="C10" s="6">
        <v>210</v>
      </c>
      <c r="D10" s="7">
        <v>322</v>
      </c>
      <c r="E10" s="7">
        <v>0</v>
      </c>
      <c r="F10" s="7">
        <v>0</v>
      </c>
      <c r="G10" s="7">
        <v>0</v>
      </c>
      <c r="H10" s="7">
        <v>379.96</v>
      </c>
      <c r="I10" s="8">
        <v>79791.599999999991</v>
      </c>
    </row>
    <row r="11" spans="1:9" ht="15.6" x14ac:dyDescent="0.3">
      <c r="A11" s="23">
        <v>7421401</v>
      </c>
      <c r="B11" s="6" t="s">
        <v>23</v>
      </c>
      <c r="C11" s="6">
        <v>210</v>
      </c>
      <c r="D11" s="7">
        <v>364</v>
      </c>
      <c r="E11" s="7">
        <v>0</v>
      </c>
      <c r="F11" s="7">
        <v>0</v>
      </c>
      <c r="G11" s="7">
        <v>0</v>
      </c>
      <c r="H11" s="7">
        <v>429.52</v>
      </c>
      <c r="I11" s="8">
        <v>90199.2</v>
      </c>
    </row>
    <row r="12" spans="1:9" ht="15.6" x14ac:dyDescent="0.3">
      <c r="A12" s="23">
        <v>7477401</v>
      </c>
      <c r="B12" s="6" t="s">
        <v>24</v>
      </c>
      <c r="C12" s="6">
        <v>210</v>
      </c>
      <c r="D12" s="7">
        <v>269</v>
      </c>
      <c r="E12" s="7">
        <v>0</v>
      </c>
      <c r="F12" s="7">
        <v>0</v>
      </c>
      <c r="G12" s="7">
        <v>0</v>
      </c>
      <c r="H12" s="7">
        <v>317.41999999999996</v>
      </c>
      <c r="I12" s="8">
        <v>66658.2</v>
      </c>
    </row>
    <row r="13" spans="1:9" ht="15.6" x14ac:dyDescent="0.3">
      <c r="A13" s="23">
        <v>7209401</v>
      </c>
      <c r="B13" s="6" t="s">
        <v>25</v>
      </c>
      <c r="C13" s="6">
        <v>210</v>
      </c>
      <c r="D13" s="7">
        <v>779</v>
      </c>
      <c r="E13" s="7">
        <v>0</v>
      </c>
      <c r="F13" s="7">
        <v>0</v>
      </c>
      <c r="G13" s="7">
        <v>0</v>
      </c>
      <c r="H13" s="7">
        <v>919.21999999999991</v>
      </c>
      <c r="I13" s="8">
        <v>193036.19999999998</v>
      </c>
    </row>
    <row r="14" spans="1:9" ht="15.6" x14ac:dyDescent="0.3">
      <c r="A14" s="23">
        <v>7202271</v>
      </c>
      <c r="B14" s="6" t="s">
        <v>26</v>
      </c>
      <c r="C14" s="6">
        <v>50</v>
      </c>
      <c r="D14" s="7">
        <v>307.5</v>
      </c>
      <c r="E14" s="7">
        <v>0</v>
      </c>
      <c r="F14" s="7">
        <v>0</v>
      </c>
      <c r="G14" s="7">
        <v>0</v>
      </c>
      <c r="H14" s="7">
        <v>362.84999999999997</v>
      </c>
      <c r="I14" s="8">
        <v>18142.5</v>
      </c>
    </row>
    <row r="15" spans="1:9" ht="15.6" x14ac:dyDescent="0.3">
      <c r="A15" s="23">
        <v>7206271</v>
      </c>
      <c r="B15" s="6" t="s">
        <v>27</v>
      </c>
      <c r="C15" s="6">
        <v>50</v>
      </c>
      <c r="D15" s="7">
        <v>289.8</v>
      </c>
      <c r="E15" s="7">
        <v>0</v>
      </c>
      <c r="F15" s="7">
        <v>0</v>
      </c>
      <c r="G15" s="7">
        <v>0</v>
      </c>
      <c r="H15" s="7">
        <v>341.964</v>
      </c>
      <c r="I15" s="8">
        <v>17098.2</v>
      </c>
    </row>
    <row r="16" spans="1:9" ht="15.6" x14ac:dyDescent="0.3">
      <c r="A16" s="23">
        <v>7207271</v>
      </c>
      <c r="B16" s="6" t="s">
        <v>28</v>
      </c>
      <c r="C16" s="6">
        <v>50</v>
      </c>
      <c r="D16" s="7">
        <v>263.7</v>
      </c>
      <c r="E16" s="7">
        <v>0</v>
      </c>
      <c r="F16" s="7">
        <v>0</v>
      </c>
      <c r="G16" s="7">
        <v>0</v>
      </c>
      <c r="H16" s="7">
        <v>311.166</v>
      </c>
      <c r="I16" s="8">
        <v>15558.3</v>
      </c>
    </row>
    <row r="17" spans="1:9" ht="15.6" x14ac:dyDescent="0.3">
      <c r="A17" s="23">
        <v>7208271</v>
      </c>
      <c r="B17" s="6" t="s">
        <v>29</v>
      </c>
      <c r="C17" s="6">
        <v>50</v>
      </c>
      <c r="D17" s="7">
        <v>284</v>
      </c>
      <c r="E17" s="7">
        <v>0</v>
      </c>
      <c r="F17" s="7">
        <v>0</v>
      </c>
      <c r="G17" s="7">
        <v>0</v>
      </c>
      <c r="H17" s="7">
        <v>335.12</v>
      </c>
      <c r="I17" s="8">
        <v>16756</v>
      </c>
    </row>
    <row r="18" spans="1:9" ht="15.6" x14ac:dyDescent="0.3">
      <c r="A18" s="23">
        <v>7202401</v>
      </c>
      <c r="B18" s="6" t="s">
        <v>30</v>
      </c>
      <c r="C18" s="6">
        <v>210</v>
      </c>
      <c r="D18" s="7">
        <v>307.5</v>
      </c>
      <c r="E18" s="7">
        <v>0</v>
      </c>
      <c r="F18" s="7">
        <v>0</v>
      </c>
      <c r="G18" s="7">
        <v>0</v>
      </c>
      <c r="H18" s="7">
        <v>362.84999999999997</v>
      </c>
      <c r="I18" s="8">
        <v>76198.5</v>
      </c>
    </row>
    <row r="19" spans="1:9" ht="15.6" x14ac:dyDescent="0.3">
      <c r="A19" s="23">
        <v>7206401</v>
      </c>
      <c r="B19" s="6" t="s">
        <v>31</v>
      </c>
      <c r="C19" s="6">
        <v>210</v>
      </c>
      <c r="D19" s="7">
        <v>289.8</v>
      </c>
      <c r="E19" s="7">
        <v>0</v>
      </c>
      <c r="F19" s="7">
        <v>0</v>
      </c>
      <c r="G19" s="7">
        <v>0</v>
      </c>
      <c r="H19" s="7">
        <v>341.964</v>
      </c>
      <c r="I19" s="8">
        <v>71812.44</v>
      </c>
    </row>
    <row r="20" spans="1:9" ht="15.6" x14ac:dyDescent="0.3">
      <c r="A20" s="23">
        <v>7207401</v>
      </c>
      <c r="B20" s="6" t="s">
        <v>32</v>
      </c>
      <c r="C20" s="6">
        <v>210</v>
      </c>
      <c r="D20" s="7">
        <v>263.7</v>
      </c>
      <c r="E20" s="7">
        <v>0</v>
      </c>
      <c r="F20" s="7">
        <v>0</v>
      </c>
      <c r="G20" s="7">
        <v>0</v>
      </c>
      <c r="H20" s="7">
        <v>311.166</v>
      </c>
      <c r="I20" s="8">
        <v>65344.86</v>
      </c>
    </row>
    <row r="21" spans="1:9" ht="15.6" x14ac:dyDescent="0.3">
      <c r="A21" s="23">
        <v>7208401</v>
      </c>
      <c r="B21" s="6" t="s">
        <v>33</v>
      </c>
      <c r="C21" s="6">
        <v>210</v>
      </c>
      <c r="D21" s="7">
        <v>284</v>
      </c>
      <c r="E21" s="7">
        <v>0</v>
      </c>
      <c r="F21" s="7">
        <v>0</v>
      </c>
      <c r="G21" s="7">
        <v>0</v>
      </c>
      <c r="H21" s="7">
        <v>335.12</v>
      </c>
      <c r="I21" s="8">
        <v>70375.199999999997</v>
      </c>
    </row>
    <row r="22" spans="1:9" ht="15.6" x14ac:dyDescent="0.3">
      <c r="A22" s="23">
        <v>7264401</v>
      </c>
      <c r="B22" s="6" t="s">
        <v>34</v>
      </c>
      <c r="C22" s="6">
        <v>210</v>
      </c>
      <c r="D22" s="7">
        <v>304</v>
      </c>
      <c r="E22" s="7">
        <v>0</v>
      </c>
      <c r="F22" s="7">
        <v>0</v>
      </c>
      <c r="G22" s="7">
        <v>0</v>
      </c>
      <c r="H22" s="7">
        <v>358.71999999999997</v>
      </c>
      <c r="I22" s="8">
        <v>75331.199999999997</v>
      </c>
    </row>
    <row r="23" spans="1:9" ht="15.6" x14ac:dyDescent="0.3">
      <c r="A23" s="23">
        <v>7267401</v>
      </c>
      <c r="B23" s="6" t="s">
        <v>35</v>
      </c>
      <c r="C23" s="6">
        <v>210</v>
      </c>
      <c r="D23" s="7">
        <v>693</v>
      </c>
      <c r="E23" s="7">
        <v>0</v>
      </c>
      <c r="F23" s="7">
        <v>0</v>
      </c>
      <c r="G23" s="7">
        <v>0</v>
      </c>
      <c r="H23" s="7">
        <v>817.74</v>
      </c>
      <c r="I23" s="8">
        <v>171725.4</v>
      </c>
    </row>
    <row r="24" spans="1:9" ht="15.6" x14ac:dyDescent="0.3">
      <c r="A24" s="23">
        <v>7265401</v>
      </c>
      <c r="B24" s="6" t="s">
        <v>36</v>
      </c>
      <c r="C24" s="6">
        <v>210</v>
      </c>
      <c r="D24" s="7">
        <v>443</v>
      </c>
      <c r="E24" s="7">
        <v>0</v>
      </c>
      <c r="F24" s="7">
        <v>0</v>
      </c>
      <c r="G24" s="7">
        <v>0</v>
      </c>
      <c r="H24" s="7">
        <v>522.74</v>
      </c>
      <c r="I24" s="8">
        <v>109775.40000000001</v>
      </c>
    </row>
    <row r="25" spans="1:9" ht="15.6" x14ac:dyDescent="0.3">
      <c r="A25" s="23">
        <v>1301401</v>
      </c>
      <c r="B25" s="6" t="s">
        <v>37</v>
      </c>
      <c r="C25" s="6">
        <v>210</v>
      </c>
      <c r="D25" s="7">
        <v>231</v>
      </c>
      <c r="E25" s="7">
        <v>3</v>
      </c>
      <c r="F25" s="7">
        <v>0</v>
      </c>
      <c r="G25" s="7">
        <v>0</v>
      </c>
      <c r="H25" s="7">
        <v>269.03999999999996</v>
      </c>
      <c r="I25" s="8">
        <v>56498.399999999994</v>
      </c>
    </row>
    <row r="26" spans="1:9" ht="15.6" x14ac:dyDescent="0.3">
      <c r="A26" s="23">
        <v>1404401</v>
      </c>
      <c r="B26" s="6" t="s">
        <v>38</v>
      </c>
      <c r="C26" s="6">
        <v>210</v>
      </c>
      <c r="D26" s="7">
        <v>268</v>
      </c>
      <c r="E26" s="7">
        <v>3</v>
      </c>
      <c r="F26" s="7">
        <v>0</v>
      </c>
      <c r="G26" s="7">
        <v>0</v>
      </c>
      <c r="H26" s="7">
        <v>312.7</v>
      </c>
      <c r="I26" s="8">
        <v>65667</v>
      </c>
    </row>
    <row r="27" spans="1:9" ht="15.6" x14ac:dyDescent="0.3">
      <c r="A27" s="23">
        <v>7436401</v>
      </c>
      <c r="B27" s="6" t="s">
        <v>39</v>
      </c>
      <c r="C27" s="6">
        <v>210</v>
      </c>
      <c r="D27" s="7">
        <v>295</v>
      </c>
      <c r="E27" s="7">
        <v>14</v>
      </c>
      <c r="F27" s="7">
        <v>0</v>
      </c>
      <c r="G27" s="7">
        <v>0</v>
      </c>
      <c r="H27" s="7">
        <v>331.58</v>
      </c>
      <c r="I27" s="8">
        <v>69631.8</v>
      </c>
    </row>
    <row r="28" spans="1:9" ht="15.6" x14ac:dyDescent="0.3">
      <c r="A28" s="23">
        <v>7470401</v>
      </c>
      <c r="B28" s="6" t="s">
        <v>40</v>
      </c>
      <c r="C28" s="6">
        <v>210</v>
      </c>
      <c r="D28" s="7">
        <v>239</v>
      </c>
      <c r="E28" s="7">
        <v>9</v>
      </c>
      <c r="F28" s="7">
        <v>0</v>
      </c>
      <c r="G28" s="7">
        <v>0</v>
      </c>
      <c r="H28" s="7">
        <v>271.39999999999998</v>
      </c>
      <c r="I28" s="8">
        <v>56993.999999999993</v>
      </c>
    </row>
    <row r="29" spans="1:9" ht="15.6" x14ac:dyDescent="0.3">
      <c r="A29" s="23">
        <v>7472401</v>
      </c>
      <c r="B29" s="6" t="s">
        <v>41</v>
      </c>
      <c r="C29" s="6">
        <v>210</v>
      </c>
      <c r="D29" s="7">
        <v>235</v>
      </c>
      <c r="E29" s="7">
        <v>4</v>
      </c>
      <c r="F29" s="7">
        <v>0</v>
      </c>
      <c r="G29" s="7">
        <v>0</v>
      </c>
      <c r="H29" s="7">
        <v>272.58</v>
      </c>
      <c r="I29" s="8">
        <v>57241.799999999996</v>
      </c>
    </row>
    <row r="30" spans="1:9" ht="15.6" x14ac:dyDescent="0.3">
      <c r="A30" s="23">
        <v>7485401</v>
      </c>
      <c r="B30" s="6" t="s">
        <v>42</v>
      </c>
      <c r="C30" s="6">
        <v>210</v>
      </c>
      <c r="D30" s="7">
        <v>232</v>
      </c>
      <c r="E30" s="7">
        <v>14</v>
      </c>
      <c r="F30" s="7">
        <v>0</v>
      </c>
      <c r="G30" s="7">
        <v>0</v>
      </c>
      <c r="H30" s="7">
        <v>257.24</v>
      </c>
      <c r="I30" s="8">
        <v>54020.4</v>
      </c>
    </row>
    <row r="31" spans="1:9" ht="15.6" x14ac:dyDescent="0.3">
      <c r="A31" s="23">
        <v>7489271</v>
      </c>
      <c r="B31" s="6" t="s">
        <v>43</v>
      </c>
      <c r="C31" s="6">
        <v>50</v>
      </c>
      <c r="D31" s="7">
        <v>291</v>
      </c>
      <c r="E31" s="7">
        <v>19</v>
      </c>
      <c r="F31" s="7">
        <v>0</v>
      </c>
      <c r="G31" s="7">
        <v>0</v>
      </c>
      <c r="H31" s="7">
        <v>320.95999999999998</v>
      </c>
      <c r="I31" s="8">
        <v>16047.999999999998</v>
      </c>
    </row>
    <row r="32" spans="1:9" ht="15.6" x14ac:dyDescent="0.3">
      <c r="A32" s="23">
        <v>7489401</v>
      </c>
      <c r="B32" s="6" t="s">
        <v>44</v>
      </c>
      <c r="C32" s="6">
        <v>210</v>
      </c>
      <c r="D32" s="7">
        <v>289</v>
      </c>
      <c r="E32" s="7">
        <v>19</v>
      </c>
      <c r="F32" s="7">
        <v>0</v>
      </c>
      <c r="G32" s="7">
        <v>0</v>
      </c>
      <c r="H32" s="7">
        <v>318.59999999999997</v>
      </c>
      <c r="I32" s="8">
        <v>66906</v>
      </c>
    </row>
    <row r="33" spans="1:9" ht="15.6" x14ac:dyDescent="0.3">
      <c r="A33" s="23">
        <v>7494401</v>
      </c>
      <c r="B33" s="6" t="s">
        <v>45</v>
      </c>
      <c r="C33" s="6">
        <v>210</v>
      </c>
      <c r="D33" s="7">
        <v>254</v>
      </c>
      <c r="E33" s="7">
        <v>0</v>
      </c>
      <c r="F33" s="7">
        <v>0</v>
      </c>
      <c r="G33" s="7">
        <v>0</v>
      </c>
      <c r="H33" s="7">
        <v>299.71999999999997</v>
      </c>
      <c r="I33" s="8">
        <v>62941.2</v>
      </c>
    </row>
    <row r="34" spans="1:9" ht="15.6" x14ac:dyDescent="0.3">
      <c r="A34" s="23">
        <v>7577271</v>
      </c>
      <c r="B34" s="6" t="s">
        <v>46</v>
      </c>
      <c r="C34" s="6">
        <v>50</v>
      </c>
      <c r="D34" s="7">
        <v>258</v>
      </c>
      <c r="E34" s="7">
        <v>14</v>
      </c>
      <c r="F34" s="7">
        <v>0</v>
      </c>
      <c r="G34" s="7">
        <v>0</v>
      </c>
      <c r="H34" s="7">
        <v>287.91999999999996</v>
      </c>
      <c r="I34" s="8">
        <v>14395.999999999998</v>
      </c>
    </row>
    <row r="35" spans="1:9" ht="15.6" x14ac:dyDescent="0.3">
      <c r="A35" s="23">
        <v>7577401</v>
      </c>
      <c r="B35" s="6" t="s">
        <v>47</v>
      </c>
      <c r="C35" s="6">
        <v>210</v>
      </c>
      <c r="D35" s="7">
        <v>257</v>
      </c>
      <c r="E35" s="7">
        <v>15</v>
      </c>
      <c r="F35" s="7">
        <v>0</v>
      </c>
      <c r="G35" s="7">
        <v>0</v>
      </c>
      <c r="H35" s="7">
        <v>285.56</v>
      </c>
      <c r="I35" s="8">
        <v>59967.6</v>
      </c>
    </row>
    <row r="36" spans="1:9" ht="15.6" x14ac:dyDescent="0.3">
      <c r="A36" s="23">
        <v>7612401</v>
      </c>
      <c r="B36" s="6" t="s">
        <v>48</v>
      </c>
      <c r="C36" s="6">
        <v>210</v>
      </c>
      <c r="D36" s="7">
        <v>264</v>
      </c>
      <c r="E36" s="7">
        <v>19</v>
      </c>
      <c r="F36" s="7">
        <v>0</v>
      </c>
      <c r="G36" s="7">
        <v>0</v>
      </c>
      <c r="H36" s="7">
        <v>289.09999999999997</v>
      </c>
      <c r="I36" s="8">
        <v>60710.999999999993</v>
      </c>
    </row>
    <row r="37" spans="1:9" ht="15.6" x14ac:dyDescent="0.3">
      <c r="A37" s="23">
        <v>2502401</v>
      </c>
      <c r="B37" s="6" t="s">
        <v>49</v>
      </c>
      <c r="C37" s="6">
        <v>210</v>
      </c>
      <c r="D37" s="7">
        <v>269</v>
      </c>
      <c r="E37" s="7">
        <v>19</v>
      </c>
      <c r="F37" s="7">
        <v>0</v>
      </c>
      <c r="G37" s="7">
        <v>0</v>
      </c>
      <c r="H37" s="7">
        <v>295</v>
      </c>
      <c r="I37" s="8">
        <v>61950</v>
      </c>
    </row>
    <row r="38" spans="1:9" ht="15.6" x14ac:dyDescent="0.3">
      <c r="A38" s="23">
        <v>2503401</v>
      </c>
      <c r="B38" s="6" t="s">
        <v>50</v>
      </c>
      <c r="C38" s="6">
        <v>210</v>
      </c>
      <c r="D38" s="7">
        <v>285</v>
      </c>
      <c r="E38" s="7">
        <v>14</v>
      </c>
      <c r="F38" s="7">
        <v>0</v>
      </c>
      <c r="G38" s="7">
        <v>0</v>
      </c>
      <c r="H38" s="7">
        <v>319.77999999999997</v>
      </c>
      <c r="I38" s="8">
        <v>67153.799999999988</v>
      </c>
    </row>
    <row r="39" spans="1:9" ht="15.6" x14ac:dyDescent="0.3">
      <c r="A39" s="23">
        <v>4906401</v>
      </c>
      <c r="B39" s="6" t="s">
        <v>51</v>
      </c>
      <c r="C39" s="6">
        <v>210</v>
      </c>
      <c r="D39" s="7">
        <v>228</v>
      </c>
      <c r="E39" s="7">
        <v>9</v>
      </c>
      <c r="F39" s="7">
        <v>0</v>
      </c>
      <c r="G39" s="7">
        <v>0</v>
      </c>
      <c r="H39" s="7">
        <v>258.41999999999996</v>
      </c>
      <c r="I39" s="8">
        <v>54268.19999999999</v>
      </c>
    </row>
    <row r="40" spans="1:9" ht="15.6" x14ac:dyDescent="0.3">
      <c r="A40" s="23">
        <v>4925401</v>
      </c>
      <c r="B40" s="6" t="s">
        <v>52</v>
      </c>
      <c r="C40" s="6">
        <v>210</v>
      </c>
      <c r="D40" s="7">
        <v>240</v>
      </c>
      <c r="E40" s="7">
        <v>5</v>
      </c>
      <c r="F40" s="7">
        <v>0</v>
      </c>
      <c r="G40" s="7">
        <v>0</v>
      </c>
      <c r="H40" s="7">
        <v>277.3</v>
      </c>
      <c r="I40" s="8">
        <v>58233</v>
      </c>
    </row>
    <row r="41" spans="1:9" ht="15.6" x14ac:dyDescent="0.3">
      <c r="A41" s="23">
        <v>7511401</v>
      </c>
      <c r="B41" s="6" t="s">
        <v>53</v>
      </c>
      <c r="C41" s="6">
        <v>210</v>
      </c>
      <c r="D41" s="7">
        <v>278</v>
      </c>
      <c r="E41" s="7">
        <v>19</v>
      </c>
      <c r="F41" s="7">
        <v>0</v>
      </c>
      <c r="G41" s="7">
        <v>0</v>
      </c>
      <c r="H41" s="7">
        <v>305.62</v>
      </c>
      <c r="I41" s="8">
        <v>64180.200000000004</v>
      </c>
    </row>
    <row r="42" spans="1:9" ht="15.6" x14ac:dyDescent="0.3">
      <c r="A42" s="23">
        <v>7515401</v>
      </c>
      <c r="B42" s="6" t="s">
        <v>54</v>
      </c>
      <c r="C42" s="6">
        <v>210</v>
      </c>
      <c r="D42" s="7">
        <v>291</v>
      </c>
      <c r="E42" s="7">
        <v>24</v>
      </c>
      <c r="F42" s="7">
        <v>0</v>
      </c>
      <c r="G42" s="7">
        <v>0</v>
      </c>
      <c r="H42" s="7">
        <v>315.06</v>
      </c>
      <c r="I42" s="8">
        <v>66162.600000000006</v>
      </c>
    </row>
    <row r="43" spans="1:9" ht="15.6" x14ac:dyDescent="0.3">
      <c r="A43" s="23">
        <v>4950288</v>
      </c>
      <c r="B43" s="6" t="s">
        <v>55</v>
      </c>
      <c r="C43" s="6">
        <v>26</v>
      </c>
      <c r="D43" s="7">
        <v>252</v>
      </c>
      <c r="E43" s="7">
        <v>34</v>
      </c>
      <c r="F43" s="7">
        <v>0</v>
      </c>
      <c r="G43" s="7">
        <v>0</v>
      </c>
      <c r="H43" s="7">
        <v>257.24</v>
      </c>
      <c r="I43" s="8">
        <v>6688.24</v>
      </c>
    </row>
    <row r="44" spans="1:9" ht="15.6" x14ac:dyDescent="0.3">
      <c r="A44" s="23">
        <v>4950401</v>
      </c>
      <c r="B44" s="6" t="s">
        <v>56</v>
      </c>
      <c r="C44" s="6">
        <v>210</v>
      </c>
      <c r="D44" s="7">
        <v>238</v>
      </c>
      <c r="E44" s="7">
        <v>0</v>
      </c>
      <c r="F44" s="7">
        <v>0</v>
      </c>
      <c r="G44" s="7">
        <v>0</v>
      </c>
      <c r="H44" s="7">
        <v>280.83999999999997</v>
      </c>
      <c r="I44" s="8">
        <v>58976.399999999994</v>
      </c>
    </row>
    <row r="45" spans="1:9" ht="15.6" x14ac:dyDescent="0.3">
      <c r="A45" s="23">
        <v>7651401</v>
      </c>
      <c r="B45" s="6" t="s">
        <v>57</v>
      </c>
      <c r="C45" s="6">
        <v>210</v>
      </c>
      <c r="D45" s="7">
        <v>198</v>
      </c>
      <c r="E45" s="7">
        <v>0</v>
      </c>
      <c r="F45" s="7">
        <v>0</v>
      </c>
      <c r="G45" s="7">
        <v>0</v>
      </c>
      <c r="H45" s="7">
        <v>233.64</v>
      </c>
      <c r="I45" s="8">
        <v>49064.399999999994</v>
      </c>
    </row>
    <row r="46" spans="1:9" ht="15.6" x14ac:dyDescent="0.3">
      <c r="A46" s="23">
        <v>2900401</v>
      </c>
      <c r="B46" s="6" t="s">
        <v>58</v>
      </c>
      <c r="C46" s="6">
        <v>210</v>
      </c>
      <c r="D46" s="7">
        <v>278.98</v>
      </c>
      <c r="E46" s="7">
        <v>0</v>
      </c>
      <c r="F46" s="7">
        <v>0</v>
      </c>
      <c r="G46" s="7">
        <v>0</v>
      </c>
      <c r="H46" s="7">
        <v>329.19639999999998</v>
      </c>
      <c r="I46" s="8">
        <v>69131.243999999992</v>
      </c>
    </row>
    <row r="47" spans="1:9" ht="15.6" x14ac:dyDescent="0.3">
      <c r="A47" s="23">
        <v>2900403</v>
      </c>
      <c r="B47" s="6" t="s">
        <v>59</v>
      </c>
      <c r="C47" s="6">
        <v>210</v>
      </c>
      <c r="D47" s="7">
        <v>278.98</v>
      </c>
      <c r="E47" s="7">
        <v>0</v>
      </c>
      <c r="F47" s="7">
        <v>0</v>
      </c>
      <c r="G47" s="7">
        <v>0</v>
      </c>
      <c r="H47" s="7">
        <v>329.19639999999998</v>
      </c>
      <c r="I47" s="8">
        <v>69131.243999999992</v>
      </c>
    </row>
    <row r="48" spans="1:9" ht="15.6" x14ac:dyDescent="0.3">
      <c r="A48" s="23">
        <v>7701451</v>
      </c>
      <c r="B48" s="6" t="s">
        <v>60</v>
      </c>
      <c r="C48" s="6">
        <v>182</v>
      </c>
      <c r="D48" s="7">
        <v>300</v>
      </c>
      <c r="E48" s="7">
        <v>26</v>
      </c>
      <c r="F48" s="7">
        <v>0</v>
      </c>
      <c r="G48" s="7">
        <v>0</v>
      </c>
      <c r="H48" s="7">
        <v>323.32</v>
      </c>
      <c r="I48" s="8">
        <v>58844.24</v>
      </c>
    </row>
    <row r="49" spans="1:9" ht="15.6" x14ac:dyDescent="0.3">
      <c r="A49" s="23">
        <v>7705451</v>
      </c>
      <c r="B49" s="6" t="s">
        <v>61</v>
      </c>
      <c r="C49" s="6">
        <v>182</v>
      </c>
      <c r="D49" s="7">
        <v>310</v>
      </c>
      <c r="E49" s="7">
        <v>35</v>
      </c>
      <c r="F49" s="7">
        <v>0</v>
      </c>
      <c r="G49" s="7">
        <v>0</v>
      </c>
      <c r="H49" s="7">
        <v>324.5</v>
      </c>
      <c r="I49" s="8">
        <v>59059</v>
      </c>
    </row>
    <row r="50" spans="1:9" ht="15.6" x14ac:dyDescent="0.3">
      <c r="A50" s="23">
        <v>7727451</v>
      </c>
      <c r="B50" s="6" t="s">
        <v>62</v>
      </c>
      <c r="C50" s="6">
        <v>182</v>
      </c>
      <c r="D50" s="7">
        <v>410</v>
      </c>
      <c r="E50" s="7">
        <v>55</v>
      </c>
      <c r="F50" s="7">
        <v>0</v>
      </c>
      <c r="G50" s="7">
        <v>0</v>
      </c>
      <c r="H50" s="7">
        <v>418.9</v>
      </c>
      <c r="I50" s="8">
        <v>76239.8</v>
      </c>
    </row>
    <row r="51" spans="1:9" ht="15.6" x14ac:dyDescent="0.3">
      <c r="A51" s="23">
        <v>7849451</v>
      </c>
      <c r="B51" s="6" t="s">
        <v>63</v>
      </c>
      <c r="C51" s="6">
        <v>182</v>
      </c>
      <c r="D51" s="7">
        <v>395</v>
      </c>
      <c r="E51" s="7">
        <v>23</v>
      </c>
      <c r="F51" s="7">
        <v>0</v>
      </c>
      <c r="G51" s="7">
        <v>0</v>
      </c>
      <c r="H51" s="7">
        <v>438.96</v>
      </c>
      <c r="I51" s="8">
        <v>79890.720000000001</v>
      </c>
    </row>
    <row r="52" spans="1:9" ht="15.6" x14ac:dyDescent="0.3">
      <c r="A52" s="23">
        <v>7903451</v>
      </c>
      <c r="B52" s="6" t="s">
        <v>64</v>
      </c>
      <c r="C52" s="6">
        <v>182</v>
      </c>
      <c r="D52" s="7">
        <v>395</v>
      </c>
      <c r="E52" s="7">
        <v>25</v>
      </c>
      <c r="F52" s="7">
        <v>0</v>
      </c>
      <c r="G52" s="7">
        <v>0</v>
      </c>
      <c r="H52" s="7">
        <v>436.59999999999997</v>
      </c>
      <c r="I52" s="8">
        <v>79461.2</v>
      </c>
    </row>
    <row r="53" spans="1:9" ht="15.6" x14ac:dyDescent="0.3">
      <c r="A53" s="23">
        <v>7584401</v>
      </c>
      <c r="B53" s="6" t="s">
        <v>65</v>
      </c>
      <c r="C53" s="6">
        <v>210</v>
      </c>
      <c r="D53" s="7">
        <v>244</v>
      </c>
      <c r="E53" s="7">
        <v>0</v>
      </c>
      <c r="F53" s="7">
        <v>0</v>
      </c>
      <c r="G53" s="7">
        <v>0</v>
      </c>
      <c r="H53" s="7">
        <v>287.91999999999996</v>
      </c>
      <c r="I53" s="8">
        <v>60463.19999999999</v>
      </c>
    </row>
    <row r="54" spans="1:9" ht="15.6" x14ac:dyDescent="0.3">
      <c r="A54" s="23">
        <v>2909401</v>
      </c>
      <c r="B54" s="6" t="s">
        <v>66</v>
      </c>
      <c r="C54" s="6">
        <v>210</v>
      </c>
      <c r="D54" s="7">
        <v>296</v>
      </c>
      <c r="E54" s="7">
        <v>0</v>
      </c>
      <c r="F54" s="7">
        <v>0</v>
      </c>
      <c r="G54" s="7">
        <v>0</v>
      </c>
      <c r="H54" s="7">
        <v>349.28</v>
      </c>
      <c r="I54" s="8">
        <v>73348.799999999988</v>
      </c>
    </row>
    <row r="55" spans="1:9" ht="15.6" x14ac:dyDescent="0.3">
      <c r="A55" s="23">
        <v>7742451</v>
      </c>
      <c r="B55" s="6" t="s">
        <v>67</v>
      </c>
      <c r="C55" s="6">
        <v>182</v>
      </c>
      <c r="D55" s="7">
        <v>320</v>
      </c>
      <c r="E55" s="7">
        <v>0</v>
      </c>
      <c r="F55" s="7">
        <v>0</v>
      </c>
      <c r="G55" s="7">
        <v>0</v>
      </c>
      <c r="H55" s="7">
        <v>377.59999999999997</v>
      </c>
      <c r="I55" s="8">
        <v>68723.199999999997</v>
      </c>
    </row>
    <row r="56" spans="1:9" ht="15.6" x14ac:dyDescent="0.3">
      <c r="A56" s="23">
        <v>3040288</v>
      </c>
      <c r="B56" s="6" t="s">
        <v>68</v>
      </c>
      <c r="C56" s="6">
        <v>26</v>
      </c>
      <c r="D56" s="7">
        <v>183</v>
      </c>
      <c r="E56" s="7">
        <v>0</v>
      </c>
      <c r="F56" s="7">
        <v>0</v>
      </c>
      <c r="G56" s="7">
        <v>0</v>
      </c>
      <c r="H56" s="7">
        <v>215.94</v>
      </c>
      <c r="I56" s="8">
        <v>5614.44</v>
      </c>
    </row>
    <row r="57" spans="1:9" ht="15.6" x14ac:dyDescent="0.3">
      <c r="A57" s="23">
        <v>3006271</v>
      </c>
      <c r="B57" s="6" t="s">
        <v>69</v>
      </c>
      <c r="C57" s="6">
        <v>50</v>
      </c>
      <c r="D57" s="7">
        <v>248</v>
      </c>
      <c r="E57" s="7">
        <v>75</v>
      </c>
      <c r="F57" s="7">
        <v>0</v>
      </c>
      <c r="G57" s="7">
        <v>0</v>
      </c>
      <c r="H57" s="7">
        <v>204.14</v>
      </c>
      <c r="I57" s="8">
        <v>10207</v>
      </c>
    </row>
    <row r="58" spans="1:9" ht="15.6" x14ac:dyDescent="0.3">
      <c r="A58" s="23">
        <v>3006288</v>
      </c>
      <c r="B58" s="6" t="s">
        <v>70</v>
      </c>
      <c r="C58" s="6">
        <v>26</v>
      </c>
      <c r="D58" s="7">
        <v>249</v>
      </c>
      <c r="E58" s="7">
        <v>75</v>
      </c>
      <c r="F58" s="7">
        <v>0</v>
      </c>
      <c r="G58" s="7">
        <v>0</v>
      </c>
      <c r="H58" s="7">
        <v>205.32</v>
      </c>
      <c r="I58" s="8">
        <v>5338.32</v>
      </c>
    </row>
    <row r="59" spans="1:9" ht="15.6" x14ac:dyDescent="0.3">
      <c r="A59" s="23">
        <v>3001401</v>
      </c>
      <c r="B59" s="6" t="s">
        <v>71</v>
      </c>
      <c r="C59" s="6">
        <v>210</v>
      </c>
      <c r="D59" s="7">
        <v>200</v>
      </c>
      <c r="E59" s="7">
        <v>0</v>
      </c>
      <c r="F59" s="7">
        <v>0</v>
      </c>
      <c r="G59" s="7">
        <v>0</v>
      </c>
      <c r="H59" s="7">
        <v>236</v>
      </c>
      <c r="I59" s="8">
        <v>49560</v>
      </c>
    </row>
    <row r="60" spans="1:9" ht="15.6" x14ac:dyDescent="0.3">
      <c r="A60" s="23">
        <v>3002401</v>
      </c>
      <c r="B60" s="6" t="s">
        <v>72</v>
      </c>
      <c r="C60" s="6">
        <v>210</v>
      </c>
      <c r="D60" s="7">
        <v>205</v>
      </c>
      <c r="E60" s="7">
        <v>0</v>
      </c>
      <c r="F60" s="7">
        <v>0</v>
      </c>
      <c r="G60" s="7">
        <v>0</v>
      </c>
      <c r="H60" s="7">
        <v>241.89999999999998</v>
      </c>
      <c r="I60" s="8">
        <v>50798.999999999993</v>
      </c>
    </row>
    <row r="61" spans="1:9" ht="15.6" x14ac:dyDescent="0.3">
      <c r="A61" s="23">
        <v>3006401</v>
      </c>
      <c r="B61" s="6" t="s">
        <v>73</v>
      </c>
      <c r="C61" s="6">
        <v>210</v>
      </c>
      <c r="D61" s="7">
        <v>215</v>
      </c>
      <c r="E61" s="7">
        <v>44</v>
      </c>
      <c r="F61" s="7">
        <v>0</v>
      </c>
      <c r="G61" s="7">
        <v>0</v>
      </c>
      <c r="H61" s="7">
        <v>201.78</v>
      </c>
      <c r="I61" s="8">
        <v>42373.8</v>
      </c>
    </row>
    <row r="62" spans="1:9" ht="15.6" x14ac:dyDescent="0.3">
      <c r="A62" s="23">
        <v>3007403</v>
      </c>
      <c r="B62" s="6" t="s">
        <v>74</v>
      </c>
      <c r="C62" s="6">
        <v>210</v>
      </c>
      <c r="D62" s="7">
        <v>250</v>
      </c>
      <c r="E62" s="7">
        <v>0</v>
      </c>
      <c r="F62" s="7">
        <v>0</v>
      </c>
      <c r="G62" s="7">
        <v>0</v>
      </c>
      <c r="H62" s="7">
        <v>295</v>
      </c>
      <c r="I62" s="8">
        <v>61950</v>
      </c>
    </row>
    <row r="63" spans="1:9" ht="15.6" x14ac:dyDescent="0.3">
      <c r="A63" s="23">
        <v>3020401</v>
      </c>
      <c r="B63" s="6" t="s">
        <v>75</v>
      </c>
      <c r="C63" s="6">
        <v>210</v>
      </c>
      <c r="D63" s="7">
        <v>238</v>
      </c>
      <c r="E63" s="7">
        <v>0</v>
      </c>
      <c r="F63" s="7">
        <v>0</v>
      </c>
      <c r="G63" s="7">
        <v>0</v>
      </c>
      <c r="H63" s="7">
        <v>280.83999999999997</v>
      </c>
      <c r="I63" s="8">
        <v>58976.399999999994</v>
      </c>
    </row>
    <row r="64" spans="1:9" ht="15.6" x14ac:dyDescent="0.3">
      <c r="A64" s="23">
        <v>3017401</v>
      </c>
      <c r="B64" s="6" t="s">
        <v>76</v>
      </c>
      <c r="C64" s="6">
        <v>210</v>
      </c>
      <c r="D64" s="7">
        <v>247</v>
      </c>
      <c r="E64" s="7">
        <v>0</v>
      </c>
      <c r="F64" s="7">
        <v>0</v>
      </c>
      <c r="G64" s="7">
        <v>0</v>
      </c>
      <c r="H64" s="7">
        <v>291.45999999999998</v>
      </c>
      <c r="I64" s="8">
        <v>61206.6</v>
      </c>
    </row>
    <row r="65" spans="1:9" ht="15.6" x14ac:dyDescent="0.3">
      <c r="A65" s="23">
        <v>3019401</v>
      </c>
      <c r="B65" s="6" t="s">
        <v>77</v>
      </c>
      <c r="C65" s="6">
        <v>210</v>
      </c>
      <c r="D65" s="7">
        <v>231</v>
      </c>
      <c r="E65" s="7">
        <v>0</v>
      </c>
      <c r="F65" s="7">
        <v>0</v>
      </c>
      <c r="G65" s="7">
        <v>0</v>
      </c>
      <c r="H65" s="7">
        <v>272.58</v>
      </c>
      <c r="I65" s="8">
        <v>57241.799999999996</v>
      </c>
    </row>
    <row r="66" spans="1:9" ht="15.6" x14ac:dyDescent="0.3">
      <c r="A66" s="23">
        <v>3064401</v>
      </c>
      <c r="B66" s="6" t="s">
        <v>78</v>
      </c>
      <c r="C66" s="6">
        <v>210</v>
      </c>
      <c r="D66" s="7">
        <v>227</v>
      </c>
      <c r="E66" s="7">
        <v>0</v>
      </c>
      <c r="F66" s="7">
        <v>0</v>
      </c>
      <c r="G66" s="7">
        <v>0</v>
      </c>
      <c r="H66" s="7">
        <v>267.86</v>
      </c>
      <c r="I66" s="8">
        <v>56250.600000000006</v>
      </c>
    </row>
    <row r="67" spans="1:9" ht="15.6" x14ac:dyDescent="0.3">
      <c r="A67" s="23">
        <v>3081401</v>
      </c>
      <c r="B67" s="6" t="s">
        <v>79</v>
      </c>
      <c r="C67" s="6">
        <v>210</v>
      </c>
      <c r="D67" s="7">
        <v>236</v>
      </c>
      <c r="E67" s="7">
        <v>0</v>
      </c>
      <c r="F67" s="7">
        <v>0</v>
      </c>
      <c r="G67" s="7">
        <v>0</v>
      </c>
      <c r="H67" s="7">
        <v>278.47999999999996</v>
      </c>
      <c r="I67" s="8">
        <v>58480.799999999988</v>
      </c>
    </row>
    <row r="68" spans="1:9" ht="15.6" x14ac:dyDescent="0.3">
      <c r="A68" s="23">
        <v>3082401</v>
      </c>
      <c r="B68" s="6" t="s">
        <v>80</v>
      </c>
      <c r="C68" s="6">
        <v>210</v>
      </c>
      <c r="D68" s="7">
        <v>241</v>
      </c>
      <c r="E68" s="7">
        <v>0</v>
      </c>
      <c r="F68" s="7">
        <v>0</v>
      </c>
      <c r="G68" s="7">
        <v>0</v>
      </c>
      <c r="H68" s="7">
        <v>284.38</v>
      </c>
      <c r="I68" s="8">
        <v>59719.799999999996</v>
      </c>
    </row>
    <row r="69" spans="1:9" ht="15.6" x14ac:dyDescent="0.3">
      <c r="A69" s="23">
        <v>3084401</v>
      </c>
      <c r="B69" s="6" t="s">
        <v>81</v>
      </c>
      <c r="C69" s="6">
        <v>210</v>
      </c>
      <c r="D69" s="7">
        <v>251</v>
      </c>
      <c r="E69" s="7">
        <v>0</v>
      </c>
      <c r="F69" s="7">
        <v>0</v>
      </c>
      <c r="G69" s="7">
        <v>0</v>
      </c>
      <c r="H69" s="7">
        <v>296.18</v>
      </c>
      <c r="I69" s="8">
        <v>62197.8</v>
      </c>
    </row>
    <row r="70" spans="1:9" ht="15.6" x14ac:dyDescent="0.3">
      <c r="A70" s="23">
        <v>3121401</v>
      </c>
      <c r="B70" s="6" t="s">
        <v>82</v>
      </c>
      <c r="C70" s="6">
        <v>210</v>
      </c>
      <c r="D70" s="7">
        <v>240</v>
      </c>
      <c r="E70" s="7">
        <v>0</v>
      </c>
      <c r="F70" s="7">
        <v>0</v>
      </c>
      <c r="G70" s="7">
        <v>0</v>
      </c>
      <c r="H70" s="7">
        <v>283.2</v>
      </c>
      <c r="I70" s="8">
        <v>59472</v>
      </c>
    </row>
    <row r="71" spans="1:9" ht="15.6" x14ac:dyDescent="0.3">
      <c r="A71" s="23">
        <v>3122401</v>
      </c>
      <c r="B71" s="6" t="s">
        <v>83</v>
      </c>
      <c r="C71" s="6">
        <v>210</v>
      </c>
      <c r="D71" s="7">
        <v>245</v>
      </c>
      <c r="E71" s="7">
        <v>0</v>
      </c>
      <c r="F71" s="7">
        <v>0</v>
      </c>
      <c r="G71" s="7">
        <v>0</v>
      </c>
      <c r="H71" s="7">
        <v>289.09999999999997</v>
      </c>
      <c r="I71" s="8">
        <v>60710.999999999993</v>
      </c>
    </row>
    <row r="72" spans="1:9" ht="15.6" x14ac:dyDescent="0.3">
      <c r="A72" s="23">
        <v>3614401</v>
      </c>
      <c r="B72" s="6" t="s">
        <v>84</v>
      </c>
      <c r="C72" s="6">
        <v>210</v>
      </c>
      <c r="D72" s="7">
        <v>257</v>
      </c>
      <c r="E72" s="7">
        <v>0</v>
      </c>
      <c r="F72" s="7">
        <v>0</v>
      </c>
      <c r="G72" s="7">
        <v>0</v>
      </c>
      <c r="H72" s="7">
        <v>303.26</v>
      </c>
      <c r="I72" s="8">
        <v>63684.6</v>
      </c>
    </row>
    <row r="73" spans="1:9" ht="15.6" x14ac:dyDescent="0.3">
      <c r="A73" s="23">
        <v>3617401</v>
      </c>
      <c r="B73" s="6" t="s">
        <v>85</v>
      </c>
      <c r="C73" s="6">
        <v>210</v>
      </c>
      <c r="D73" s="7">
        <v>249</v>
      </c>
      <c r="E73" s="7">
        <v>0</v>
      </c>
      <c r="F73" s="7">
        <v>0</v>
      </c>
      <c r="G73" s="7">
        <v>0</v>
      </c>
      <c r="H73" s="7">
        <v>293.82</v>
      </c>
      <c r="I73" s="8">
        <v>61702.2</v>
      </c>
    </row>
    <row r="74" spans="1:9" ht="15.6" x14ac:dyDescent="0.3">
      <c r="A74" s="23">
        <v>3923401</v>
      </c>
      <c r="B74" s="6" t="s">
        <v>86</v>
      </c>
      <c r="C74" s="6">
        <v>210</v>
      </c>
      <c r="D74" s="7">
        <v>211</v>
      </c>
      <c r="E74" s="7">
        <v>0</v>
      </c>
      <c r="F74" s="7">
        <v>0</v>
      </c>
      <c r="G74" s="7">
        <v>0</v>
      </c>
      <c r="H74" s="7">
        <v>248.98</v>
      </c>
      <c r="I74" s="8">
        <v>52285.799999999996</v>
      </c>
    </row>
    <row r="75" spans="1:9" ht="15.6" x14ac:dyDescent="0.3">
      <c r="A75" s="23">
        <v>4803401</v>
      </c>
      <c r="B75" s="6" t="s">
        <v>87</v>
      </c>
      <c r="C75" s="6">
        <v>210</v>
      </c>
      <c r="D75" s="7">
        <v>217</v>
      </c>
      <c r="E75" s="7">
        <v>0</v>
      </c>
      <c r="F75" s="7">
        <v>0</v>
      </c>
      <c r="G75" s="7">
        <v>0</v>
      </c>
      <c r="H75" s="7">
        <v>256.06</v>
      </c>
      <c r="I75" s="8">
        <v>53772.6</v>
      </c>
    </row>
    <row r="76" spans="1:9" ht="15.6" x14ac:dyDescent="0.3">
      <c r="A76" s="23">
        <v>4811401</v>
      </c>
      <c r="B76" s="6" t="s">
        <v>88</v>
      </c>
      <c r="C76" s="6">
        <v>210</v>
      </c>
      <c r="D76" s="7">
        <v>230</v>
      </c>
      <c r="E76" s="7">
        <v>0</v>
      </c>
      <c r="F76" s="7">
        <v>0</v>
      </c>
      <c r="G76" s="7">
        <v>0</v>
      </c>
      <c r="H76" s="7">
        <v>271.39999999999998</v>
      </c>
      <c r="I76" s="8">
        <v>56993.999999999993</v>
      </c>
    </row>
    <row r="77" spans="1:9" ht="15.6" x14ac:dyDescent="0.3">
      <c r="A77" s="23">
        <v>4501401</v>
      </c>
      <c r="B77" s="6" t="s">
        <v>89</v>
      </c>
      <c r="C77" s="6">
        <v>210</v>
      </c>
      <c r="D77" s="7">
        <v>230</v>
      </c>
      <c r="E77" s="7">
        <v>0</v>
      </c>
      <c r="F77" s="7">
        <v>0</v>
      </c>
      <c r="G77" s="7">
        <v>0</v>
      </c>
      <c r="H77" s="7">
        <v>271.39999999999998</v>
      </c>
      <c r="I77" s="8">
        <v>56993.999999999993</v>
      </c>
    </row>
    <row r="78" spans="1:9" ht="15.6" x14ac:dyDescent="0.3">
      <c r="A78" s="23">
        <v>7403401</v>
      </c>
      <c r="B78" s="6" t="s">
        <v>90</v>
      </c>
      <c r="C78" s="6">
        <v>210</v>
      </c>
      <c r="D78" s="7">
        <v>160</v>
      </c>
      <c r="E78" s="7">
        <v>0</v>
      </c>
      <c r="F78" s="7">
        <v>0</v>
      </c>
      <c r="G78" s="7">
        <v>0</v>
      </c>
      <c r="H78" s="7">
        <v>188.79999999999998</v>
      </c>
      <c r="I78" s="8">
        <v>39648</v>
      </c>
    </row>
    <row r="79" spans="1:9" ht="15.6" x14ac:dyDescent="0.3">
      <c r="A79" s="23">
        <v>7330403</v>
      </c>
      <c r="B79" s="6" t="s">
        <v>91</v>
      </c>
      <c r="C79" s="6">
        <v>210</v>
      </c>
      <c r="D79" s="7">
        <v>69</v>
      </c>
      <c r="E79" s="7">
        <v>0</v>
      </c>
      <c r="F79" s="7">
        <v>0</v>
      </c>
      <c r="G79" s="7">
        <v>0</v>
      </c>
      <c r="H79" s="7">
        <v>81.42</v>
      </c>
      <c r="I79" s="8">
        <v>17098.2</v>
      </c>
    </row>
  </sheetData>
  <conditionalFormatting sqref="A2">
    <cfRule type="duplicateValues" dxfId="1" priority="2"/>
  </conditionalFormatting>
  <conditionalFormatting sqref="E2:F7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8596-4046-4EE7-BA93-151475B7BD54}">
  <dimension ref="A2:T80"/>
  <sheetViews>
    <sheetView tabSelected="1" topLeftCell="O62" workbookViewId="0">
      <selection activeCell="T84" sqref="T84"/>
    </sheetView>
  </sheetViews>
  <sheetFormatPr defaultRowHeight="14.4" x14ac:dyDescent="0.3"/>
  <cols>
    <col min="1" max="3" width="8.88671875" style="1"/>
    <col min="4" max="4" width="45.109375" style="1" bestFit="1" customWidth="1"/>
    <col min="5" max="19" width="8.88671875" style="1"/>
    <col min="20" max="20" width="154.88671875" style="1" bestFit="1" customWidth="1"/>
    <col min="21" max="16384" width="8.88671875" style="1"/>
  </cols>
  <sheetData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6</v>
      </c>
      <c r="I2" s="1" t="s">
        <v>4</v>
      </c>
      <c r="J2" s="1" t="s">
        <v>7</v>
      </c>
      <c r="K2" s="1" t="s">
        <v>2</v>
      </c>
      <c r="L2" s="1" t="s">
        <v>8</v>
      </c>
      <c r="M2" s="1" t="s">
        <v>4</v>
      </c>
      <c r="N2" s="1" t="s">
        <v>9</v>
      </c>
      <c r="O2" s="1" t="s">
        <v>2</v>
      </c>
      <c r="P2" s="1" t="s">
        <v>10</v>
      </c>
      <c r="Q2" s="1" t="s">
        <v>4</v>
      </c>
      <c r="R2" s="1" t="s">
        <v>11</v>
      </c>
      <c r="S2" s="1" t="s">
        <v>12</v>
      </c>
      <c r="T2" s="25"/>
    </row>
    <row r="3" spans="1:20" x14ac:dyDescent="0.3">
      <c r="A3" s="1" t="s">
        <v>13</v>
      </c>
      <c r="B3" s="1">
        <f>'Barrel Pricelist'!A2</f>
        <v>7403401</v>
      </c>
      <c r="C3" s="1" t="s">
        <v>14</v>
      </c>
      <c r="D3" s="1" t="str">
        <f>VLOOKUP(B3,'Barrel Pricelist'!A:I,2,0)</f>
        <v>SERVOELECTRA - 210L BRL</v>
      </c>
      <c r="E3" s="1" t="s">
        <v>14</v>
      </c>
      <c r="F3" s="1">
        <f>VLOOKUP(B3,'Barrel Pricelist'!A:I,3,0)</f>
        <v>210</v>
      </c>
      <c r="G3" s="1" t="s">
        <v>14</v>
      </c>
      <c r="H3" s="1">
        <f>VLOOKUP(B3,'Barrel Pricelist'!A:I,4,0)</f>
        <v>160</v>
      </c>
      <c r="I3" s="1" t="s">
        <v>14</v>
      </c>
      <c r="J3" s="1">
        <f>VLOOKUP(B3,'Barrel Pricelist'!A:I,5,0)</f>
        <v>0</v>
      </c>
      <c r="K3" s="1" t="s">
        <v>14</v>
      </c>
      <c r="L3" s="1">
        <f>VLOOKUP(B3,'Barrel Pricelist'!A:I,6,0)</f>
        <v>0</v>
      </c>
      <c r="M3" s="1" t="s">
        <v>14</v>
      </c>
      <c r="N3" s="1">
        <f>VLOOKUP(B3,'Barrel Pricelist'!A:I,7,0)</f>
        <v>0</v>
      </c>
      <c r="O3" s="1" t="s">
        <v>14</v>
      </c>
      <c r="P3" s="1">
        <f>VLOOKUP(B3,'Barrel Pricelist'!A:I,8,0)</f>
        <v>188.79999999999998</v>
      </c>
      <c r="Q3" s="1" t="s">
        <v>14</v>
      </c>
      <c r="R3" s="1">
        <f>VLOOKUP(B3,'Barrel Pricelist'!A:I,9,0)</f>
        <v>39648</v>
      </c>
      <c r="S3" s="1" t="s">
        <v>12</v>
      </c>
      <c r="T3" s="25" t="str">
        <f>CONCATENATE(A3,B3,C3,D3,E3,F3,G3,H3,I3,J3,K3,L3,M3,N3,O3,P3,Q3,R3,S3)</f>
        <v>&lt;tr&gt; &lt;td&gt;7403401&lt;/td&gt;&lt;td&gt;SERVOELECTRA - 210L BRL&lt;/td&gt;&lt;td&gt;210&lt;/td&gt;&lt;td&gt;160&lt;/td&gt;&lt;td&gt;0&lt;/td&gt;&lt;td&gt;0&lt;/td&gt;&lt;td&gt;0&lt;/td&gt;&lt;td&gt;188.8&lt;/td&gt;&lt;td&gt;39648&lt;/td&gt;&lt;/tr&gt;</v>
      </c>
    </row>
    <row r="4" spans="1:20" x14ac:dyDescent="0.3">
      <c r="A4" s="1" t="s">
        <v>13</v>
      </c>
      <c r="B4" s="1">
        <f>'Barrel Pricelist'!A3</f>
        <v>2960401</v>
      </c>
      <c r="C4" s="1" t="s">
        <v>14</v>
      </c>
      <c r="D4" s="1" t="str">
        <f>VLOOKUP(B4,'Barrel Pricelist'!A:I,2,0)</f>
        <v>SERVO FUTURA SYNTH 0W-40-210 L BRL</v>
      </c>
      <c r="E4" s="1" t="s">
        <v>14</v>
      </c>
      <c r="F4" s="1">
        <f>VLOOKUP(B4,'Barrel Pricelist'!A:I,3,0)</f>
        <v>210</v>
      </c>
      <c r="G4" s="1" t="s">
        <v>14</v>
      </c>
      <c r="H4" s="1">
        <f>VLOOKUP(B4,'Barrel Pricelist'!A:I,4,0)</f>
        <v>635</v>
      </c>
      <c r="I4" s="1" t="s">
        <v>14</v>
      </c>
      <c r="J4" s="1">
        <f>VLOOKUP(B4,'Barrel Pricelist'!A:I,5,0)</f>
        <v>0</v>
      </c>
      <c r="K4" s="1" t="s">
        <v>14</v>
      </c>
      <c r="L4" s="1">
        <f>VLOOKUP(B4,'Barrel Pricelist'!A:I,6,0)</f>
        <v>0</v>
      </c>
      <c r="M4" s="1" t="s">
        <v>14</v>
      </c>
      <c r="N4" s="1">
        <f>VLOOKUP(B4,'Barrel Pricelist'!A:I,7,0)</f>
        <v>0</v>
      </c>
      <c r="O4" s="1" t="s">
        <v>14</v>
      </c>
      <c r="P4" s="1">
        <f>VLOOKUP(B4,'Barrel Pricelist'!A:I,8,0)</f>
        <v>749.3</v>
      </c>
      <c r="Q4" s="1" t="s">
        <v>14</v>
      </c>
      <c r="R4" s="1">
        <f>VLOOKUP(B4,'Barrel Pricelist'!A:I,9,0)</f>
        <v>157353</v>
      </c>
      <c r="S4" s="1" t="s">
        <v>12</v>
      </c>
      <c r="T4" s="25" t="str">
        <f t="shared" ref="T4:T67" si="0">CONCATENATE(A4,B4,C4,D4,E4,F4,G4,H4,I4,J4,K4,L4,M4,N4,O4,P4,Q4,R4,S4)</f>
        <v>&lt;tr&gt; &lt;td&gt;2960401&lt;/td&gt;&lt;td&gt;SERVO FUTURA SYNTH 0W-40-210 L BRL&lt;/td&gt;&lt;td&gt;210&lt;/td&gt;&lt;td&gt;635&lt;/td&gt;&lt;td&gt;0&lt;/td&gt;&lt;td&gt;0&lt;/td&gt;&lt;td&gt;0&lt;/td&gt;&lt;td&gt;749.3&lt;/td&gt;&lt;td&gt;157353&lt;/td&gt;&lt;/tr&gt;</v>
      </c>
    </row>
    <row r="5" spans="1:20" x14ac:dyDescent="0.3">
      <c r="A5" s="1" t="s">
        <v>13</v>
      </c>
      <c r="B5" s="1">
        <f>'Barrel Pricelist'!A4</f>
        <v>7427401</v>
      </c>
      <c r="C5" s="1" t="s">
        <v>14</v>
      </c>
      <c r="D5" s="1" t="str">
        <f>VLOOKUP(B5,'Barrel Pricelist'!A:I,2,0)</f>
        <v>ECSTAR PETROL 0W-20-210 L</v>
      </c>
      <c r="E5" s="1" t="s">
        <v>14</v>
      </c>
      <c r="F5" s="1">
        <f>VLOOKUP(B5,'Barrel Pricelist'!A:I,3,0)</f>
        <v>210</v>
      </c>
      <c r="G5" s="1" t="s">
        <v>14</v>
      </c>
      <c r="H5" s="1">
        <f>VLOOKUP(B5,'Barrel Pricelist'!A:I,4,0)</f>
        <v>325</v>
      </c>
      <c r="I5" s="1" t="s">
        <v>14</v>
      </c>
      <c r="J5" s="1">
        <f>VLOOKUP(B5,'Barrel Pricelist'!A:I,5,0)</f>
        <v>0</v>
      </c>
      <c r="K5" s="1" t="s">
        <v>14</v>
      </c>
      <c r="L5" s="1">
        <f>VLOOKUP(B5,'Barrel Pricelist'!A:I,6,0)</f>
        <v>0</v>
      </c>
      <c r="M5" s="1" t="s">
        <v>14</v>
      </c>
      <c r="N5" s="1">
        <f>VLOOKUP(B5,'Barrel Pricelist'!A:I,7,0)</f>
        <v>0</v>
      </c>
      <c r="O5" s="1" t="s">
        <v>14</v>
      </c>
      <c r="P5" s="1">
        <f>VLOOKUP(B5,'Barrel Pricelist'!A:I,8,0)</f>
        <v>383.5</v>
      </c>
      <c r="Q5" s="1" t="s">
        <v>14</v>
      </c>
      <c r="R5" s="1">
        <f>VLOOKUP(B5,'Barrel Pricelist'!A:I,9,0)</f>
        <v>80535</v>
      </c>
      <c r="S5" s="1" t="s">
        <v>12</v>
      </c>
      <c r="T5" s="25" t="str">
        <f t="shared" si="0"/>
        <v>&lt;tr&gt; &lt;td&gt;7427401&lt;/td&gt;&lt;td&gt;ECSTAR PETROL 0W-20-210 L&lt;/td&gt;&lt;td&gt;210&lt;/td&gt;&lt;td&gt;325&lt;/td&gt;&lt;td&gt;0&lt;/td&gt;&lt;td&gt;0&lt;/td&gt;&lt;td&gt;0&lt;/td&gt;&lt;td&gt;383.5&lt;/td&gt;&lt;td&gt;80535&lt;/td&gt;&lt;/tr&gt;</v>
      </c>
    </row>
    <row r="6" spans="1:20" x14ac:dyDescent="0.3">
      <c r="A6" s="1" t="s">
        <v>13</v>
      </c>
      <c r="B6" s="1">
        <f>'Barrel Pricelist'!A5</f>
        <v>7428401</v>
      </c>
      <c r="C6" s="1" t="s">
        <v>14</v>
      </c>
      <c r="D6" s="1" t="str">
        <f>VLOOKUP(B6,'Barrel Pricelist'!A:I,2,0)</f>
        <v>ECSTAR DIESEL 5W-30-210 L</v>
      </c>
      <c r="E6" s="1" t="s">
        <v>14</v>
      </c>
      <c r="F6" s="1">
        <f>VLOOKUP(B6,'Barrel Pricelist'!A:I,3,0)</f>
        <v>210</v>
      </c>
      <c r="G6" s="1" t="s">
        <v>14</v>
      </c>
      <c r="H6" s="1">
        <f>VLOOKUP(B6,'Barrel Pricelist'!A:I,4,0)</f>
        <v>358</v>
      </c>
      <c r="I6" s="1" t="s">
        <v>14</v>
      </c>
      <c r="J6" s="1">
        <f>VLOOKUP(B6,'Barrel Pricelist'!A:I,5,0)</f>
        <v>0</v>
      </c>
      <c r="K6" s="1" t="s">
        <v>14</v>
      </c>
      <c r="L6" s="1">
        <f>VLOOKUP(B6,'Barrel Pricelist'!A:I,6,0)</f>
        <v>0</v>
      </c>
      <c r="M6" s="1" t="s">
        <v>14</v>
      </c>
      <c r="N6" s="1">
        <f>VLOOKUP(B6,'Barrel Pricelist'!A:I,7,0)</f>
        <v>0</v>
      </c>
      <c r="O6" s="1" t="s">
        <v>14</v>
      </c>
      <c r="P6" s="1">
        <f>VLOOKUP(B6,'Barrel Pricelist'!A:I,8,0)</f>
        <v>422.44</v>
      </c>
      <c r="Q6" s="1" t="s">
        <v>14</v>
      </c>
      <c r="R6" s="1">
        <f>VLOOKUP(B6,'Barrel Pricelist'!A:I,9,0)</f>
        <v>88712.4</v>
      </c>
      <c r="S6" s="1" t="s">
        <v>12</v>
      </c>
      <c r="T6" s="25" t="str">
        <f t="shared" si="0"/>
        <v>&lt;tr&gt; &lt;td&gt;7428401&lt;/td&gt;&lt;td&gt;ECSTAR DIESEL 5W-30-210 L&lt;/td&gt;&lt;td&gt;210&lt;/td&gt;&lt;td&gt;358&lt;/td&gt;&lt;td&gt;0&lt;/td&gt;&lt;td&gt;0&lt;/td&gt;&lt;td&gt;0&lt;/td&gt;&lt;td&gt;422.44&lt;/td&gt;&lt;td&gt;88712.4&lt;/td&gt;&lt;/tr&gt;</v>
      </c>
    </row>
    <row r="7" spans="1:20" x14ac:dyDescent="0.3">
      <c r="A7" s="1" t="s">
        <v>13</v>
      </c>
      <c r="B7" s="1">
        <f>'Barrel Pricelist'!A6</f>
        <v>7670401</v>
      </c>
      <c r="C7" s="1" t="s">
        <v>14</v>
      </c>
      <c r="D7" s="1" t="str">
        <f>VLOOKUP(B7,'Barrel Pricelist'!A:I,2,0)</f>
        <v>MGDO 15W-40 - 210 L BRL</v>
      </c>
      <c r="E7" s="1" t="s">
        <v>14</v>
      </c>
      <c r="F7" s="1">
        <f>VLOOKUP(B7,'Barrel Pricelist'!A:I,3,0)</f>
        <v>210</v>
      </c>
      <c r="G7" s="1" t="s">
        <v>14</v>
      </c>
      <c r="H7" s="1">
        <f>VLOOKUP(B7,'Barrel Pricelist'!A:I,4,0)</f>
        <v>245</v>
      </c>
      <c r="I7" s="1" t="s">
        <v>14</v>
      </c>
      <c r="J7" s="1">
        <f>VLOOKUP(B7,'Barrel Pricelist'!A:I,5,0)</f>
        <v>0</v>
      </c>
      <c r="K7" s="1" t="s">
        <v>14</v>
      </c>
      <c r="L7" s="1">
        <f>VLOOKUP(B7,'Barrel Pricelist'!A:I,6,0)</f>
        <v>0</v>
      </c>
      <c r="M7" s="1" t="s">
        <v>14</v>
      </c>
      <c r="N7" s="1">
        <f>VLOOKUP(B7,'Barrel Pricelist'!A:I,7,0)</f>
        <v>0</v>
      </c>
      <c r="O7" s="1" t="s">
        <v>14</v>
      </c>
      <c r="P7" s="1">
        <f>VLOOKUP(B7,'Barrel Pricelist'!A:I,8,0)</f>
        <v>289.09999999999997</v>
      </c>
      <c r="Q7" s="1" t="s">
        <v>14</v>
      </c>
      <c r="R7" s="1">
        <f>VLOOKUP(B7,'Barrel Pricelist'!A:I,9,0)</f>
        <v>60710.999999999993</v>
      </c>
      <c r="S7" s="1" t="s">
        <v>12</v>
      </c>
      <c r="T7" s="25" t="str">
        <f t="shared" si="0"/>
        <v>&lt;tr&gt; &lt;td&gt;7670401&lt;/td&gt;&lt;td&gt;MGDO 15W-40 - 210 L BRL&lt;/td&gt;&lt;td&gt;210&lt;/td&gt;&lt;td&gt;245&lt;/td&gt;&lt;td&gt;0&lt;/td&gt;&lt;td&gt;0&lt;/td&gt;&lt;td&gt;0&lt;/td&gt;&lt;td&gt;289.1&lt;/td&gt;&lt;td&gt;60711&lt;/td&gt;&lt;/tr&gt;</v>
      </c>
    </row>
    <row r="8" spans="1:20" x14ac:dyDescent="0.3">
      <c r="A8" s="1" t="s">
        <v>13</v>
      </c>
      <c r="B8" s="1">
        <f>'Barrel Pricelist'!A7</f>
        <v>7688401</v>
      </c>
      <c r="C8" s="1" t="s">
        <v>14</v>
      </c>
      <c r="D8" s="1" t="str">
        <f>VLOOKUP(B8,'Barrel Pricelist'!A:I,2,0)</f>
        <v>MGO 5W-30-210 L BRL</v>
      </c>
      <c r="E8" s="1" t="s">
        <v>14</v>
      </c>
      <c r="F8" s="1">
        <f>VLOOKUP(B8,'Barrel Pricelist'!A:I,3,0)</f>
        <v>210</v>
      </c>
      <c r="G8" s="1" t="s">
        <v>14</v>
      </c>
      <c r="H8" s="1">
        <f>VLOOKUP(B8,'Barrel Pricelist'!A:I,4,0)</f>
        <v>258</v>
      </c>
      <c r="I8" s="1" t="s">
        <v>14</v>
      </c>
      <c r="J8" s="1">
        <f>VLOOKUP(B8,'Barrel Pricelist'!A:I,5,0)</f>
        <v>0</v>
      </c>
      <c r="K8" s="1" t="s">
        <v>14</v>
      </c>
      <c r="L8" s="1">
        <f>VLOOKUP(B8,'Barrel Pricelist'!A:I,6,0)</f>
        <v>0</v>
      </c>
      <c r="M8" s="1" t="s">
        <v>14</v>
      </c>
      <c r="N8" s="1">
        <f>VLOOKUP(B8,'Barrel Pricelist'!A:I,7,0)</f>
        <v>0</v>
      </c>
      <c r="O8" s="1" t="s">
        <v>14</v>
      </c>
      <c r="P8" s="1">
        <f>VLOOKUP(B8,'Barrel Pricelist'!A:I,8,0)</f>
        <v>304.44</v>
      </c>
      <c r="Q8" s="1" t="s">
        <v>14</v>
      </c>
      <c r="R8" s="1">
        <f>VLOOKUP(B8,'Barrel Pricelist'!A:I,9,0)</f>
        <v>63932.4</v>
      </c>
      <c r="S8" s="1" t="s">
        <v>12</v>
      </c>
      <c r="T8" s="25" t="str">
        <f t="shared" si="0"/>
        <v>&lt;tr&gt; &lt;td&gt;7688401&lt;/td&gt;&lt;td&gt;MGO 5W-30-210 L BRL&lt;/td&gt;&lt;td&gt;210&lt;/td&gt;&lt;td&gt;258&lt;/td&gt;&lt;td&gt;0&lt;/td&gt;&lt;td&gt;0&lt;/td&gt;&lt;td&gt;0&lt;/td&gt;&lt;td&gt;304.44&lt;/td&gt;&lt;td&gt;63932.4&lt;/td&gt;&lt;/tr&gt;</v>
      </c>
    </row>
    <row r="9" spans="1:20" x14ac:dyDescent="0.3">
      <c r="A9" s="1" t="s">
        <v>13</v>
      </c>
      <c r="B9" s="1">
        <f>'Barrel Pricelist'!A8</f>
        <v>2968401</v>
      </c>
      <c r="C9" s="1" t="s">
        <v>14</v>
      </c>
      <c r="D9" s="1" t="str">
        <f>VLOOKUP(B9,'Barrel Pricelist'!A:I,2,0)</f>
        <v>HY.SERVO ENGINE OIL 5W-30-210 L BRL</v>
      </c>
      <c r="E9" s="1" t="s">
        <v>14</v>
      </c>
      <c r="F9" s="1">
        <f>VLOOKUP(B9,'Barrel Pricelist'!A:I,3,0)</f>
        <v>210</v>
      </c>
      <c r="G9" s="1" t="s">
        <v>14</v>
      </c>
      <c r="H9" s="1">
        <f>VLOOKUP(B9,'Barrel Pricelist'!A:I,4,0)</f>
        <v>260</v>
      </c>
      <c r="I9" s="1" t="s">
        <v>14</v>
      </c>
      <c r="J9" s="1">
        <f>VLOOKUP(B9,'Barrel Pricelist'!A:I,5,0)</f>
        <v>0</v>
      </c>
      <c r="K9" s="1" t="s">
        <v>14</v>
      </c>
      <c r="L9" s="1">
        <f>VLOOKUP(B9,'Barrel Pricelist'!A:I,6,0)</f>
        <v>0</v>
      </c>
      <c r="M9" s="1" t="s">
        <v>14</v>
      </c>
      <c r="N9" s="1">
        <f>VLOOKUP(B9,'Barrel Pricelist'!A:I,7,0)</f>
        <v>0</v>
      </c>
      <c r="O9" s="1" t="s">
        <v>14</v>
      </c>
      <c r="P9" s="1">
        <f>VLOOKUP(B9,'Barrel Pricelist'!A:I,8,0)</f>
        <v>306.8</v>
      </c>
      <c r="Q9" s="1" t="s">
        <v>14</v>
      </c>
      <c r="R9" s="1">
        <f>VLOOKUP(B9,'Barrel Pricelist'!A:I,9,0)</f>
        <v>64428</v>
      </c>
      <c r="S9" s="1" t="s">
        <v>12</v>
      </c>
      <c r="T9" s="25" t="str">
        <f t="shared" si="0"/>
        <v>&lt;tr&gt; &lt;td&gt;2968401&lt;/td&gt;&lt;td&gt;HY.SERVO ENGINE OIL 5W-30-210 L BRL&lt;/td&gt;&lt;td&gt;210&lt;/td&gt;&lt;td&gt;260&lt;/td&gt;&lt;td&gt;0&lt;/td&gt;&lt;td&gt;0&lt;/td&gt;&lt;td&gt;0&lt;/td&gt;&lt;td&gt;306.8&lt;/td&gt;&lt;td&gt;64428&lt;/td&gt;&lt;/tr&gt;</v>
      </c>
    </row>
    <row r="10" spans="1:20" x14ac:dyDescent="0.3">
      <c r="A10" s="1" t="s">
        <v>13</v>
      </c>
      <c r="B10" s="1">
        <f>'Barrel Pricelist'!A9</f>
        <v>7205401</v>
      </c>
      <c r="C10" s="1" t="s">
        <v>14</v>
      </c>
      <c r="D10" s="1" t="str">
        <f>VLOOKUP(B10,'Barrel Pricelist'!A:I,2,0)</f>
        <v>HYUNDAI SERVO SUPERIOR 0W30-210 L</v>
      </c>
      <c r="E10" s="1" t="s">
        <v>14</v>
      </c>
      <c r="F10" s="1">
        <f>VLOOKUP(B10,'Barrel Pricelist'!A:I,3,0)</f>
        <v>210</v>
      </c>
      <c r="G10" s="1" t="s">
        <v>14</v>
      </c>
      <c r="H10" s="1">
        <f>VLOOKUP(B10,'Barrel Pricelist'!A:I,4,0)</f>
        <v>345</v>
      </c>
      <c r="I10" s="1" t="s">
        <v>14</v>
      </c>
      <c r="J10" s="1">
        <f>VLOOKUP(B10,'Barrel Pricelist'!A:I,5,0)</f>
        <v>0</v>
      </c>
      <c r="K10" s="1" t="s">
        <v>14</v>
      </c>
      <c r="L10" s="1">
        <f>VLOOKUP(B10,'Barrel Pricelist'!A:I,6,0)</f>
        <v>0</v>
      </c>
      <c r="M10" s="1" t="s">
        <v>14</v>
      </c>
      <c r="N10" s="1">
        <f>VLOOKUP(B10,'Barrel Pricelist'!A:I,7,0)</f>
        <v>0</v>
      </c>
      <c r="O10" s="1" t="s">
        <v>14</v>
      </c>
      <c r="P10" s="1">
        <f>VLOOKUP(B10,'Barrel Pricelist'!A:I,8,0)</f>
        <v>407.09999999999997</v>
      </c>
      <c r="Q10" s="1" t="s">
        <v>14</v>
      </c>
      <c r="R10" s="1">
        <f>VLOOKUP(B10,'Barrel Pricelist'!A:I,9,0)</f>
        <v>85491</v>
      </c>
      <c r="S10" s="1" t="s">
        <v>12</v>
      </c>
      <c r="T10" s="25" t="str">
        <f t="shared" si="0"/>
        <v>&lt;tr&gt; &lt;td&gt;7205401&lt;/td&gt;&lt;td&gt;HYUNDAI SERVO SUPERIOR 0W30-210 L&lt;/td&gt;&lt;td&gt;210&lt;/td&gt;&lt;td&gt;345&lt;/td&gt;&lt;td&gt;0&lt;/td&gt;&lt;td&gt;0&lt;/td&gt;&lt;td&gt;0&lt;/td&gt;&lt;td&gt;407.1&lt;/td&gt;&lt;td&gt;85491&lt;/td&gt;&lt;/tr&gt;</v>
      </c>
    </row>
    <row r="11" spans="1:20" x14ac:dyDescent="0.3">
      <c r="A11" s="1" t="s">
        <v>13</v>
      </c>
      <c r="B11" s="1">
        <f>'Barrel Pricelist'!A10</f>
        <v>7420401</v>
      </c>
      <c r="C11" s="1" t="s">
        <v>14</v>
      </c>
      <c r="D11" s="1" t="str">
        <f>VLOOKUP(B11,'Barrel Pricelist'!A:I,2,0)</f>
        <v>HY SERVO PETROL EO SN PLUS-210 L</v>
      </c>
      <c r="E11" s="1" t="s">
        <v>14</v>
      </c>
      <c r="F11" s="1">
        <f>VLOOKUP(B11,'Barrel Pricelist'!A:I,3,0)</f>
        <v>210</v>
      </c>
      <c r="G11" s="1" t="s">
        <v>14</v>
      </c>
      <c r="H11" s="1">
        <f>VLOOKUP(B11,'Barrel Pricelist'!A:I,4,0)</f>
        <v>322</v>
      </c>
      <c r="I11" s="1" t="s">
        <v>14</v>
      </c>
      <c r="J11" s="1">
        <f>VLOOKUP(B11,'Barrel Pricelist'!A:I,5,0)</f>
        <v>0</v>
      </c>
      <c r="K11" s="1" t="s">
        <v>14</v>
      </c>
      <c r="L11" s="1">
        <f>VLOOKUP(B11,'Barrel Pricelist'!A:I,6,0)</f>
        <v>0</v>
      </c>
      <c r="M11" s="1" t="s">
        <v>14</v>
      </c>
      <c r="N11" s="1">
        <f>VLOOKUP(B11,'Barrel Pricelist'!A:I,7,0)</f>
        <v>0</v>
      </c>
      <c r="O11" s="1" t="s">
        <v>14</v>
      </c>
      <c r="P11" s="1">
        <f>VLOOKUP(B11,'Barrel Pricelist'!A:I,8,0)</f>
        <v>379.96</v>
      </c>
      <c r="Q11" s="1" t="s">
        <v>14</v>
      </c>
      <c r="R11" s="1">
        <f>VLOOKUP(B11,'Barrel Pricelist'!A:I,9,0)</f>
        <v>79791.599999999991</v>
      </c>
      <c r="S11" s="1" t="s">
        <v>12</v>
      </c>
      <c r="T11" s="25" t="str">
        <f t="shared" si="0"/>
        <v>&lt;tr&gt; &lt;td&gt;7420401&lt;/td&gt;&lt;td&gt;HY SERVO PETROL EO SN PLUS-210 L&lt;/td&gt;&lt;td&gt;210&lt;/td&gt;&lt;td&gt;322&lt;/td&gt;&lt;td&gt;0&lt;/td&gt;&lt;td&gt;0&lt;/td&gt;&lt;td&gt;0&lt;/td&gt;&lt;td&gt;379.96&lt;/td&gt;&lt;td&gt;79791.6&lt;/td&gt;&lt;/tr&gt;</v>
      </c>
    </row>
    <row r="12" spans="1:20" x14ac:dyDescent="0.3">
      <c r="A12" s="1" t="s">
        <v>13</v>
      </c>
      <c r="B12" s="1">
        <f>'Barrel Pricelist'!A11</f>
        <v>7421401</v>
      </c>
      <c r="C12" s="1" t="s">
        <v>14</v>
      </c>
      <c r="D12" s="1" t="str">
        <f>VLOOKUP(B12,'Barrel Pricelist'!A:I,2,0)</f>
        <v>HYUNDAI SERVO DEO ACEA C5-210 L</v>
      </c>
      <c r="E12" s="1" t="s">
        <v>14</v>
      </c>
      <c r="F12" s="1">
        <f>VLOOKUP(B12,'Barrel Pricelist'!A:I,3,0)</f>
        <v>210</v>
      </c>
      <c r="G12" s="1" t="s">
        <v>14</v>
      </c>
      <c r="H12" s="1">
        <f>VLOOKUP(B12,'Barrel Pricelist'!A:I,4,0)</f>
        <v>364</v>
      </c>
      <c r="I12" s="1" t="s">
        <v>14</v>
      </c>
      <c r="J12" s="1">
        <f>VLOOKUP(B12,'Barrel Pricelist'!A:I,5,0)</f>
        <v>0</v>
      </c>
      <c r="K12" s="1" t="s">
        <v>14</v>
      </c>
      <c r="L12" s="1">
        <f>VLOOKUP(B12,'Barrel Pricelist'!A:I,6,0)</f>
        <v>0</v>
      </c>
      <c r="M12" s="1" t="s">
        <v>14</v>
      </c>
      <c r="N12" s="1">
        <f>VLOOKUP(B12,'Barrel Pricelist'!A:I,7,0)</f>
        <v>0</v>
      </c>
      <c r="O12" s="1" t="s">
        <v>14</v>
      </c>
      <c r="P12" s="1">
        <f>VLOOKUP(B12,'Barrel Pricelist'!A:I,8,0)</f>
        <v>429.52</v>
      </c>
      <c r="Q12" s="1" t="s">
        <v>14</v>
      </c>
      <c r="R12" s="1">
        <f>VLOOKUP(B12,'Barrel Pricelist'!A:I,9,0)</f>
        <v>90199.2</v>
      </c>
      <c r="S12" s="1" t="s">
        <v>12</v>
      </c>
      <c r="T12" s="25" t="str">
        <f t="shared" si="0"/>
        <v>&lt;tr&gt; &lt;td&gt;7421401&lt;/td&gt;&lt;td&gt;HYUNDAI SERVO DEO ACEA C5-210 L&lt;/td&gt;&lt;td&gt;210&lt;/td&gt;&lt;td&gt;364&lt;/td&gt;&lt;td&gt;0&lt;/td&gt;&lt;td&gt;0&lt;/td&gt;&lt;td&gt;0&lt;/td&gt;&lt;td&gt;429.52&lt;/td&gt;&lt;td&gt;90199.2&lt;/td&gt;&lt;/tr&gt;</v>
      </c>
    </row>
    <row r="13" spans="1:20" x14ac:dyDescent="0.3">
      <c r="A13" s="1" t="s">
        <v>13</v>
      </c>
      <c r="B13" s="1">
        <f>'Barrel Pricelist'!A12</f>
        <v>7477401</v>
      </c>
      <c r="C13" s="1" t="s">
        <v>14</v>
      </c>
      <c r="D13" s="1" t="str">
        <f>VLOOKUP(B13,'Barrel Pricelist'!A:I,2,0)</f>
        <v>HY.SERVO PRM.EO SM 5W-30-210 L BRL</v>
      </c>
      <c r="E13" s="1" t="s">
        <v>14</v>
      </c>
      <c r="F13" s="1">
        <f>VLOOKUP(B13,'Barrel Pricelist'!A:I,3,0)</f>
        <v>210</v>
      </c>
      <c r="G13" s="1" t="s">
        <v>14</v>
      </c>
      <c r="H13" s="1">
        <f>VLOOKUP(B13,'Barrel Pricelist'!A:I,4,0)</f>
        <v>269</v>
      </c>
      <c r="I13" s="1" t="s">
        <v>14</v>
      </c>
      <c r="J13" s="1">
        <f>VLOOKUP(B13,'Barrel Pricelist'!A:I,5,0)</f>
        <v>0</v>
      </c>
      <c r="K13" s="1" t="s">
        <v>14</v>
      </c>
      <c r="L13" s="1">
        <f>VLOOKUP(B13,'Barrel Pricelist'!A:I,6,0)</f>
        <v>0</v>
      </c>
      <c r="M13" s="1" t="s">
        <v>14</v>
      </c>
      <c r="N13" s="1">
        <f>VLOOKUP(B13,'Barrel Pricelist'!A:I,7,0)</f>
        <v>0</v>
      </c>
      <c r="O13" s="1" t="s">
        <v>14</v>
      </c>
      <c r="P13" s="1">
        <f>VLOOKUP(B13,'Barrel Pricelist'!A:I,8,0)</f>
        <v>317.41999999999996</v>
      </c>
      <c r="Q13" s="1" t="s">
        <v>14</v>
      </c>
      <c r="R13" s="1">
        <f>VLOOKUP(B13,'Barrel Pricelist'!A:I,9,0)</f>
        <v>66658.2</v>
      </c>
      <c r="S13" s="1" t="s">
        <v>12</v>
      </c>
      <c r="T13" s="25" t="str">
        <f t="shared" si="0"/>
        <v>&lt;tr&gt; &lt;td&gt;7477401&lt;/td&gt;&lt;td&gt;HY.SERVO PRM.EO SM 5W-30-210 L BRL&lt;/td&gt;&lt;td&gt;210&lt;/td&gt;&lt;td&gt;269&lt;/td&gt;&lt;td&gt;0&lt;/td&gt;&lt;td&gt;0&lt;/td&gt;&lt;td&gt;0&lt;/td&gt;&lt;td&gt;317.42&lt;/td&gt;&lt;td&gt;66658.2&lt;/td&gt;&lt;/tr&gt;</v>
      </c>
    </row>
    <row r="14" spans="1:20" x14ac:dyDescent="0.3">
      <c r="A14" s="1" t="s">
        <v>13</v>
      </c>
      <c r="B14" s="1">
        <f>'Barrel Pricelist'!A13</f>
        <v>7209401</v>
      </c>
      <c r="C14" s="1" t="s">
        <v>14</v>
      </c>
      <c r="D14" s="1" t="str">
        <f>VLOOKUP(B14,'Barrel Pricelist'!A:I,2,0)</f>
        <v>HYUNDAI SERVO SYNTH 0W-30 API SP/ ACEA C3</v>
      </c>
      <c r="E14" s="1" t="s">
        <v>14</v>
      </c>
      <c r="F14" s="1">
        <f>VLOOKUP(B14,'Barrel Pricelist'!A:I,3,0)</f>
        <v>210</v>
      </c>
      <c r="G14" s="1" t="s">
        <v>14</v>
      </c>
      <c r="H14" s="1">
        <f>VLOOKUP(B14,'Barrel Pricelist'!A:I,4,0)</f>
        <v>779</v>
      </c>
      <c r="I14" s="1" t="s">
        <v>14</v>
      </c>
      <c r="J14" s="1">
        <f>VLOOKUP(B14,'Barrel Pricelist'!A:I,5,0)</f>
        <v>0</v>
      </c>
      <c r="K14" s="1" t="s">
        <v>14</v>
      </c>
      <c r="L14" s="1">
        <f>VLOOKUP(B14,'Barrel Pricelist'!A:I,6,0)</f>
        <v>0</v>
      </c>
      <c r="M14" s="1" t="s">
        <v>14</v>
      </c>
      <c r="N14" s="1">
        <f>VLOOKUP(B14,'Barrel Pricelist'!A:I,7,0)</f>
        <v>0</v>
      </c>
      <c r="O14" s="1" t="s">
        <v>14</v>
      </c>
      <c r="P14" s="1">
        <f>VLOOKUP(B14,'Barrel Pricelist'!A:I,8,0)</f>
        <v>919.21999999999991</v>
      </c>
      <c r="Q14" s="1" t="s">
        <v>14</v>
      </c>
      <c r="R14" s="1">
        <f>VLOOKUP(B14,'Barrel Pricelist'!A:I,9,0)</f>
        <v>193036.19999999998</v>
      </c>
      <c r="S14" s="1" t="s">
        <v>12</v>
      </c>
      <c r="T14" s="25" t="str">
        <f t="shared" si="0"/>
        <v>&lt;tr&gt; &lt;td&gt;7209401&lt;/td&gt;&lt;td&gt;HYUNDAI SERVO SYNTH 0W-30 API SP/ ACEA C3&lt;/td&gt;&lt;td&gt;210&lt;/td&gt;&lt;td&gt;779&lt;/td&gt;&lt;td&gt;0&lt;/td&gt;&lt;td&gt;0&lt;/td&gt;&lt;td&gt;0&lt;/td&gt;&lt;td&gt;919.22&lt;/td&gt;&lt;td&gt;193036.2&lt;/td&gt;&lt;/tr&gt;</v>
      </c>
    </row>
    <row r="15" spans="1:20" x14ac:dyDescent="0.3">
      <c r="A15" s="1" t="s">
        <v>13</v>
      </c>
      <c r="B15" s="1">
        <f>'Barrel Pricelist'!A14</f>
        <v>7202271</v>
      </c>
      <c r="C15" s="1" t="s">
        <v>14</v>
      </c>
      <c r="D15" s="1" t="str">
        <f>VLOOKUP(B15,'Barrel Pricelist'!A:I,2,0)</f>
        <v>SERVO SUPERIOR EO 0W30 ACEA C2-50 L</v>
      </c>
      <c r="E15" s="1" t="s">
        <v>14</v>
      </c>
      <c r="F15" s="1">
        <f>VLOOKUP(B15,'Barrel Pricelist'!A:I,3,0)</f>
        <v>50</v>
      </c>
      <c r="G15" s="1" t="s">
        <v>14</v>
      </c>
      <c r="H15" s="1">
        <f>VLOOKUP(B15,'Barrel Pricelist'!A:I,4,0)</f>
        <v>307.5</v>
      </c>
      <c r="I15" s="1" t="s">
        <v>14</v>
      </c>
      <c r="J15" s="1">
        <f>VLOOKUP(B15,'Barrel Pricelist'!A:I,5,0)</f>
        <v>0</v>
      </c>
      <c r="K15" s="1" t="s">
        <v>14</v>
      </c>
      <c r="L15" s="1">
        <f>VLOOKUP(B15,'Barrel Pricelist'!A:I,6,0)</f>
        <v>0</v>
      </c>
      <c r="M15" s="1" t="s">
        <v>14</v>
      </c>
      <c r="N15" s="1">
        <f>VLOOKUP(B15,'Barrel Pricelist'!A:I,7,0)</f>
        <v>0</v>
      </c>
      <c r="O15" s="1" t="s">
        <v>14</v>
      </c>
      <c r="P15" s="1">
        <f>VLOOKUP(B15,'Barrel Pricelist'!A:I,8,0)</f>
        <v>362.84999999999997</v>
      </c>
      <c r="Q15" s="1" t="s">
        <v>14</v>
      </c>
      <c r="R15" s="1">
        <f>VLOOKUP(B15,'Barrel Pricelist'!A:I,9,0)</f>
        <v>18142.5</v>
      </c>
      <c r="S15" s="1" t="s">
        <v>12</v>
      </c>
      <c r="T15" s="25" t="str">
        <f t="shared" si="0"/>
        <v>&lt;tr&gt; &lt;td&gt;7202271&lt;/td&gt;&lt;td&gt;SERVO SUPERIOR EO 0W30 ACEA C2-50 L&lt;/td&gt;&lt;td&gt;50&lt;/td&gt;&lt;td&gt;307.5&lt;/td&gt;&lt;td&gt;0&lt;/td&gt;&lt;td&gt;0&lt;/td&gt;&lt;td&gt;0&lt;/td&gt;&lt;td&gt;362.85&lt;/td&gt;&lt;td&gt;18142.5&lt;/td&gt;&lt;/tr&gt;</v>
      </c>
    </row>
    <row r="16" spans="1:20" x14ac:dyDescent="0.3">
      <c r="A16" s="1" t="s">
        <v>13</v>
      </c>
      <c r="B16" s="1">
        <f>'Barrel Pricelist'!A15</f>
        <v>7206271</v>
      </c>
      <c r="C16" s="1" t="s">
        <v>14</v>
      </c>
      <c r="D16" s="1" t="str">
        <f>VLOOKUP(B16,'Barrel Pricelist'!A:I,2,0)</f>
        <v>SERVO SUPERIOR EO 0W20 ACEA C5-50 L</v>
      </c>
      <c r="E16" s="1" t="s">
        <v>14</v>
      </c>
      <c r="F16" s="1">
        <f>VLOOKUP(B16,'Barrel Pricelist'!A:I,3,0)</f>
        <v>50</v>
      </c>
      <c r="G16" s="1" t="s">
        <v>14</v>
      </c>
      <c r="H16" s="1">
        <f>VLOOKUP(B16,'Barrel Pricelist'!A:I,4,0)</f>
        <v>289.8</v>
      </c>
      <c r="I16" s="1" t="s">
        <v>14</v>
      </c>
      <c r="J16" s="1">
        <f>VLOOKUP(B16,'Barrel Pricelist'!A:I,5,0)</f>
        <v>0</v>
      </c>
      <c r="K16" s="1" t="s">
        <v>14</v>
      </c>
      <c r="L16" s="1">
        <f>VLOOKUP(B16,'Barrel Pricelist'!A:I,6,0)</f>
        <v>0</v>
      </c>
      <c r="M16" s="1" t="s">
        <v>14</v>
      </c>
      <c r="N16" s="1">
        <f>VLOOKUP(B16,'Barrel Pricelist'!A:I,7,0)</f>
        <v>0</v>
      </c>
      <c r="O16" s="1" t="s">
        <v>14</v>
      </c>
      <c r="P16" s="1">
        <f>VLOOKUP(B16,'Barrel Pricelist'!A:I,8,0)</f>
        <v>341.964</v>
      </c>
      <c r="Q16" s="1" t="s">
        <v>14</v>
      </c>
      <c r="R16" s="1">
        <f>VLOOKUP(B16,'Barrel Pricelist'!A:I,9,0)</f>
        <v>17098.2</v>
      </c>
      <c r="S16" s="1" t="s">
        <v>12</v>
      </c>
      <c r="T16" s="25" t="str">
        <f t="shared" si="0"/>
        <v>&lt;tr&gt; &lt;td&gt;7206271&lt;/td&gt;&lt;td&gt;SERVO SUPERIOR EO 0W20 ACEA C5-50 L&lt;/td&gt;&lt;td&gt;50&lt;/td&gt;&lt;td&gt;289.8&lt;/td&gt;&lt;td&gt;0&lt;/td&gt;&lt;td&gt;0&lt;/td&gt;&lt;td&gt;0&lt;/td&gt;&lt;td&gt;341.964&lt;/td&gt;&lt;td&gt;17098.2&lt;/td&gt;&lt;/tr&gt;</v>
      </c>
    </row>
    <row r="17" spans="1:20" x14ac:dyDescent="0.3">
      <c r="A17" s="1" t="s">
        <v>13</v>
      </c>
      <c r="B17" s="1">
        <f>'Barrel Pricelist'!A16</f>
        <v>7207271</v>
      </c>
      <c r="C17" s="1" t="s">
        <v>14</v>
      </c>
      <c r="D17" s="1" t="str">
        <f>VLOOKUP(B17,'Barrel Pricelist'!A:I,2,0)</f>
        <v>SERVO SUPERIOR EO 5W30 ACEA A5/B5-50 L</v>
      </c>
      <c r="E17" s="1" t="s">
        <v>14</v>
      </c>
      <c r="F17" s="1">
        <f>VLOOKUP(B17,'Barrel Pricelist'!A:I,3,0)</f>
        <v>50</v>
      </c>
      <c r="G17" s="1" t="s">
        <v>14</v>
      </c>
      <c r="H17" s="1">
        <f>VLOOKUP(B17,'Barrel Pricelist'!A:I,4,0)</f>
        <v>263.7</v>
      </c>
      <c r="I17" s="1" t="s">
        <v>14</v>
      </c>
      <c r="J17" s="1">
        <f>VLOOKUP(B17,'Barrel Pricelist'!A:I,5,0)</f>
        <v>0</v>
      </c>
      <c r="K17" s="1" t="s">
        <v>14</v>
      </c>
      <c r="L17" s="1">
        <f>VLOOKUP(B17,'Barrel Pricelist'!A:I,6,0)</f>
        <v>0</v>
      </c>
      <c r="M17" s="1" t="s">
        <v>14</v>
      </c>
      <c r="N17" s="1">
        <f>VLOOKUP(B17,'Barrel Pricelist'!A:I,7,0)</f>
        <v>0</v>
      </c>
      <c r="O17" s="1" t="s">
        <v>14</v>
      </c>
      <c r="P17" s="1">
        <f>VLOOKUP(B17,'Barrel Pricelist'!A:I,8,0)</f>
        <v>311.166</v>
      </c>
      <c r="Q17" s="1" t="s">
        <v>14</v>
      </c>
      <c r="R17" s="1">
        <f>VLOOKUP(B17,'Barrel Pricelist'!A:I,9,0)</f>
        <v>15558.3</v>
      </c>
      <c r="S17" s="1" t="s">
        <v>12</v>
      </c>
      <c r="T17" s="25" t="str">
        <f t="shared" si="0"/>
        <v>&lt;tr&gt; &lt;td&gt;7207271&lt;/td&gt;&lt;td&gt;SERVO SUPERIOR EO 5W30 ACEA A5/B5-50 L&lt;/td&gt;&lt;td&gt;50&lt;/td&gt;&lt;td&gt;263.7&lt;/td&gt;&lt;td&gt;0&lt;/td&gt;&lt;td&gt;0&lt;/td&gt;&lt;td&gt;0&lt;/td&gt;&lt;td&gt;311.166&lt;/td&gt;&lt;td&gt;15558.3&lt;/td&gt;&lt;/tr&gt;</v>
      </c>
    </row>
    <row r="18" spans="1:20" x14ac:dyDescent="0.3">
      <c r="A18" s="1" t="s">
        <v>13</v>
      </c>
      <c r="B18" s="1">
        <f>'Barrel Pricelist'!A17</f>
        <v>7208271</v>
      </c>
      <c r="C18" s="1" t="s">
        <v>14</v>
      </c>
      <c r="D18" s="1" t="str">
        <f>VLOOKUP(B18,'Barrel Pricelist'!A:I,2,0)</f>
        <v>SERVO SUPERIOR EO 0W20 SN PLUS-50 L</v>
      </c>
      <c r="E18" s="1" t="s">
        <v>14</v>
      </c>
      <c r="F18" s="1">
        <f>VLOOKUP(B18,'Barrel Pricelist'!A:I,3,0)</f>
        <v>50</v>
      </c>
      <c r="G18" s="1" t="s">
        <v>14</v>
      </c>
      <c r="H18" s="1">
        <f>VLOOKUP(B18,'Barrel Pricelist'!A:I,4,0)</f>
        <v>284</v>
      </c>
      <c r="I18" s="1" t="s">
        <v>14</v>
      </c>
      <c r="J18" s="1">
        <f>VLOOKUP(B18,'Barrel Pricelist'!A:I,5,0)</f>
        <v>0</v>
      </c>
      <c r="K18" s="1" t="s">
        <v>14</v>
      </c>
      <c r="L18" s="1">
        <f>VLOOKUP(B18,'Barrel Pricelist'!A:I,6,0)</f>
        <v>0</v>
      </c>
      <c r="M18" s="1" t="s">
        <v>14</v>
      </c>
      <c r="N18" s="1">
        <f>VLOOKUP(B18,'Barrel Pricelist'!A:I,7,0)</f>
        <v>0</v>
      </c>
      <c r="O18" s="1" t="s">
        <v>14</v>
      </c>
      <c r="P18" s="1">
        <f>VLOOKUP(B18,'Barrel Pricelist'!A:I,8,0)</f>
        <v>335.12</v>
      </c>
      <c r="Q18" s="1" t="s">
        <v>14</v>
      </c>
      <c r="R18" s="1">
        <f>VLOOKUP(B18,'Barrel Pricelist'!A:I,9,0)</f>
        <v>16756</v>
      </c>
      <c r="S18" s="1" t="s">
        <v>12</v>
      </c>
      <c r="T18" s="25" t="str">
        <f t="shared" si="0"/>
        <v>&lt;tr&gt; &lt;td&gt;7208271&lt;/td&gt;&lt;td&gt;SERVO SUPERIOR EO 0W20 SN PLUS-50 L&lt;/td&gt;&lt;td&gt;50&lt;/td&gt;&lt;td&gt;284&lt;/td&gt;&lt;td&gt;0&lt;/td&gt;&lt;td&gt;0&lt;/td&gt;&lt;td&gt;0&lt;/td&gt;&lt;td&gt;335.12&lt;/td&gt;&lt;td&gt;16756&lt;/td&gt;&lt;/tr&gt;</v>
      </c>
    </row>
    <row r="19" spans="1:20" x14ac:dyDescent="0.3">
      <c r="A19" s="1" t="s">
        <v>13</v>
      </c>
      <c r="B19" s="1">
        <f>'Barrel Pricelist'!A18</f>
        <v>7202401</v>
      </c>
      <c r="C19" s="1" t="s">
        <v>14</v>
      </c>
      <c r="D19" s="1" t="str">
        <f>VLOOKUP(B19,'Barrel Pricelist'!A:I,2,0)</f>
        <v>SERVO SUPERIOR EO 0W30 ACEA C2-210 L</v>
      </c>
      <c r="E19" s="1" t="s">
        <v>14</v>
      </c>
      <c r="F19" s="1">
        <f>VLOOKUP(B19,'Barrel Pricelist'!A:I,3,0)</f>
        <v>210</v>
      </c>
      <c r="G19" s="1" t="s">
        <v>14</v>
      </c>
      <c r="H19" s="1">
        <f>VLOOKUP(B19,'Barrel Pricelist'!A:I,4,0)</f>
        <v>307.5</v>
      </c>
      <c r="I19" s="1" t="s">
        <v>14</v>
      </c>
      <c r="J19" s="1">
        <f>VLOOKUP(B19,'Barrel Pricelist'!A:I,5,0)</f>
        <v>0</v>
      </c>
      <c r="K19" s="1" t="s">
        <v>14</v>
      </c>
      <c r="L19" s="1">
        <f>VLOOKUP(B19,'Barrel Pricelist'!A:I,6,0)</f>
        <v>0</v>
      </c>
      <c r="M19" s="1" t="s">
        <v>14</v>
      </c>
      <c r="N19" s="1">
        <f>VLOOKUP(B19,'Barrel Pricelist'!A:I,7,0)</f>
        <v>0</v>
      </c>
      <c r="O19" s="1" t="s">
        <v>14</v>
      </c>
      <c r="P19" s="1">
        <f>VLOOKUP(B19,'Barrel Pricelist'!A:I,8,0)</f>
        <v>362.84999999999997</v>
      </c>
      <c r="Q19" s="1" t="s">
        <v>14</v>
      </c>
      <c r="R19" s="1">
        <f>VLOOKUP(B19,'Barrel Pricelist'!A:I,9,0)</f>
        <v>76198.5</v>
      </c>
      <c r="S19" s="1" t="s">
        <v>12</v>
      </c>
      <c r="T19" s="25" t="str">
        <f t="shared" si="0"/>
        <v>&lt;tr&gt; &lt;td&gt;7202401&lt;/td&gt;&lt;td&gt;SERVO SUPERIOR EO 0W30 ACEA C2-210 L&lt;/td&gt;&lt;td&gt;210&lt;/td&gt;&lt;td&gt;307.5&lt;/td&gt;&lt;td&gt;0&lt;/td&gt;&lt;td&gt;0&lt;/td&gt;&lt;td&gt;0&lt;/td&gt;&lt;td&gt;362.85&lt;/td&gt;&lt;td&gt;76198.5&lt;/td&gt;&lt;/tr&gt;</v>
      </c>
    </row>
    <row r="20" spans="1:20" x14ac:dyDescent="0.3">
      <c r="A20" s="1" t="s">
        <v>13</v>
      </c>
      <c r="B20" s="1">
        <f>'Barrel Pricelist'!A19</f>
        <v>7206401</v>
      </c>
      <c r="C20" s="1" t="s">
        <v>14</v>
      </c>
      <c r="D20" s="1" t="str">
        <f>VLOOKUP(B20,'Barrel Pricelist'!A:I,2,0)</f>
        <v>SERVO SUPERIOR EO 0W20 ACEA C5-210 L</v>
      </c>
      <c r="E20" s="1" t="s">
        <v>14</v>
      </c>
      <c r="F20" s="1">
        <f>VLOOKUP(B20,'Barrel Pricelist'!A:I,3,0)</f>
        <v>210</v>
      </c>
      <c r="G20" s="1" t="s">
        <v>14</v>
      </c>
      <c r="H20" s="1">
        <f>VLOOKUP(B20,'Barrel Pricelist'!A:I,4,0)</f>
        <v>289.8</v>
      </c>
      <c r="I20" s="1" t="s">
        <v>14</v>
      </c>
      <c r="J20" s="1">
        <f>VLOOKUP(B20,'Barrel Pricelist'!A:I,5,0)</f>
        <v>0</v>
      </c>
      <c r="K20" s="1" t="s">
        <v>14</v>
      </c>
      <c r="L20" s="1">
        <f>VLOOKUP(B20,'Barrel Pricelist'!A:I,6,0)</f>
        <v>0</v>
      </c>
      <c r="M20" s="1" t="s">
        <v>14</v>
      </c>
      <c r="N20" s="1">
        <f>VLOOKUP(B20,'Barrel Pricelist'!A:I,7,0)</f>
        <v>0</v>
      </c>
      <c r="O20" s="1" t="s">
        <v>14</v>
      </c>
      <c r="P20" s="1">
        <f>VLOOKUP(B20,'Barrel Pricelist'!A:I,8,0)</f>
        <v>341.964</v>
      </c>
      <c r="Q20" s="1" t="s">
        <v>14</v>
      </c>
      <c r="R20" s="1">
        <f>VLOOKUP(B20,'Barrel Pricelist'!A:I,9,0)</f>
        <v>71812.44</v>
      </c>
      <c r="S20" s="1" t="s">
        <v>12</v>
      </c>
      <c r="T20" s="25" t="str">
        <f t="shared" si="0"/>
        <v>&lt;tr&gt; &lt;td&gt;7206401&lt;/td&gt;&lt;td&gt;SERVO SUPERIOR EO 0W20 ACEA C5-210 L&lt;/td&gt;&lt;td&gt;210&lt;/td&gt;&lt;td&gt;289.8&lt;/td&gt;&lt;td&gt;0&lt;/td&gt;&lt;td&gt;0&lt;/td&gt;&lt;td&gt;0&lt;/td&gt;&lt;td&gt;341.964&lt;/td&gt;&lt;td&gt;71812.44&lt;/td&gt;&lt;/tr&gt;</v>
      </c>
    </row>
    <row r="21" spans="1:20" x14ac:dyDescent="0.3">
      <c r="A21" s="1" t="s">
        <v>13</v>
      </c>
      <c r="B21" s="1">
        <f>'Barrel Pricelist'!A20</f>
        <v>7207401</v>
      </c>
      <c r="C21" s="1" t="s">
        <v>14</v>
      </c>
      <c r="D21" s="1" t="str">
        <f>VLOOKUP(B21,'Barrel Pricelist'!A:I,2,0)</f>
        <v>SERVO SUPERIOR EO 5W30 ACEA A5/B5-210 L</v>
      </c>
      <c r="E21" s="1" t="s">
        <v>14</v>
      </c>
      <c r="F21" s="1">
        <f>VLOOKUP(B21,'Barrel Pricelist'!A:I,3,0)</f>
        <v>210</v>
      </c>
      <c r="G21" s="1" t="s">
        <v>14</v>
      </c>
      <c r="H21" s="1">
        <f>VLOOKUP(B21,'Barrel Pricelist'!A:I,4,0)</f>
        <v>263.7</v>
      </c>
      <c r="I21" s="1" t="s">
        <v>14</v>
      </c>
      <c r="J21" s="1">
        <f>VLOOKUP(B21,'Barrel Pricelist'!A:I,5,0)</f>
        <v>0</v>
      </c>
      <c r="K21" s="1" t="s">
        <v>14</v>
      </c>
      <c r="L21" s="1">
        <f>VLOOKUP(B21,'Barrel Pricelist'!A:I,6,0)</f>
        <v>0</v>
      </c>
      <c r="M21" s="1" t="s">
        <v>14</v>
      </c>
      <c r="N21" s="1">
        <f>VLOOKUP(B21,'Barrel Pricelist'!A:I,7,0)</f>
        <v>0</v>
      </c>
      <c r="O21" s="1" t="s">
        <v>14</v>
      </c>
      <c r="P21" s="1">
        <f>VLOOKUP(B21,'Barrel Pricelist'!A:I,8,0)</f>
        <v>311.166</v>
      </c>
      <c r="Q21" s="1" t="s">
        <v>14</v>
      </c>
      <c r="R21" s="1">
        <f>VLOOKUP(B21,'Barrel Pricelist'!A:I,9,0)</f>
        <v>65344.86</v>
      </c>
      <c r="S21" s="1" t="s">
        <v>12</v>
      </c>
      <c r="T21" s="25" t="str">
        <f t="shared" si="0"/>
        <v>&lt;tr&gt; &lt;td&gt;7207401&lt;/td&gt;&lt;td&gt;SERVO SUPERIOR EO 5W30 ACEA A5/B5-210 L&lt;/td&gt;&lt;td&gt;210&lt;/td&gt;&lt;td&gt;263.7&lt;/td&gt;&lt;td&gt;0&lt;/td&gt;&lt;td&gt;0&lt;/td&gt;&lt;td&gt;0&lt;/td&gt;&lt;td&gt;311.166&lt;/td&gt;&lt;td&gt;65344.86&lt;/td&gt;&lt;/tr&gt;</v>
      </c>
    </row>
    <row r="22" spans="1:20" x14ac:dyDescent="0.3">
      <c r="A22" s="1" t="s">
        <v>13</v>
      </c>
      <c r="B22" s="1">
        <f>'Barrel Pricelist'!A21</f>
        <v>7208401</v>
      </c>
      <c r="C22" s="1" t="s">
        <v>14</v>
      </c>
      <c r="D22" s="1" t="str">
        <f>VLOOKUP(B22,'Barrel Pricelist'!A:I,2,0)</f>
        <v>SERVO SUPERIOR EO 0W20 SN PLUS-210 L</v>
      </c>
      <c r="E22" s="1" t="s">
        <v>14</v>
      </c>
      <c r="F22" s="1">
        <f>VLOOKUP(B22,'Barrel Pricelist'!A:I,3,0)</f>
        <v>210</v>
      </c>
      <c r="G22" s="1" t="s">
        <v>14</v>
      </c>
      <c r="H22" s="1">
        <f>VLOOKUP(B22,'Barrel Pricelist'!A:I,4,0)</f>
        <v>284</v>
      </c>
      <c r="I22" s="1" t="s">
        <v>14</v>
      </c>
      <c r="J22" s="1">
        <f>VLOOKUP(B22,'Barrel Pricelist'!A:I,5,0)</f>
        <v>0</v>
      </c>
      <c r="K22" s="1" t="s">
        <v>14</v>
      </c>
      <c r="L22" s="1">
        <f>VLOOKUP(B22,'Barrel Pricelist'!A:I,6,0)</f>
        <v>0</v>
      </c>
      <c r="M22" s="1" t="s">
        <v>14</v>
      </c>
      <c r="N22" s="1">
        <f>VLOOKUP(B22,'Barrel Pricelist'!A:I,7,0)</f>
        <v>0</v>
      </c>
      <c r="O22" s="1" t="s">
        <v>14</v>
      </c>
      <c r="P22" s="1">
        <f>VLOOKUP(B22,'Barrel Pricelist'!A:I,8,0)</f>
        <v>335.12</v>
      </c>
      <c r="Q22" s="1" t="s">
        <v>14</v>
      </c>
      <c r="R22" s="1">
        <f>VLOOKUP(B22,'Barrel Pricelist'!A:I,9,0)</f>
        <v>70375.199999999997</v>
      </c>
      <c r="S22" s="1" t="s">
        <v>12</v>
      </c>
      <c r="T22" s="25" t="str">
        <f t="shared" si="0"/>
        <v>&lt;tr&gt; &lt;td&gt;7208401&lt;/td&gt;&lt;td&gt;SERVO SUPERIOR EO 0W20 SN PLUS-210 L&lt;/td&gt;&lt;td&gt;210&lt;/td&gt;&lt;td&gt;284&lt;/td&gt;&lt;td&gt;0&lt;/td&gt;&lt;td&gt;0&lt;/td&gt;&lt;td&gt;0&lt;/td&gt;&lt;td&gt;335.12&lt;/td&gt;&lt;td&gt;70375.2&lt;/td&gt;&lt;/tr&gt;</v>
      </c>
    </row>
    <row r="23" spans="1:20" x14ac:dyDescent="0.3">
      <c r="A23" s="1" t="s">
        <v>13</v>
      </c>
      <c r="B23" s="1">
        <f>'Barrel Pricelist'!A22</f>
        <v>7264401</v>
      </c>
      <c r="C23" s="1" t="s">
        <v>14</v>
      </c>
      <c r="D23" s="1" t="str">
        <f>VLOOKUP(B23,'Barrel Pricelist'!A:I,2,0)</f>
        <v>SERVO MG HECTOR PETROL ENGINE OIL-210 L</v>
      </c>
      <c r="E23" s="1" t="s">
        <v>14</v>
      </c>
      <c r="F23" s="1">
        <f>VLOOKUP(B23,'Barrel Pricelist'!A:I,3,0)</f>
        <v>210</v>
      </c>
      <c r="G23" s="1" t="s">
        <v>14</v>
      </c>
      <c r="H23" s="1">
        <f>VLOOKUP(B23,'Barrel Pricelist'!A:I,4,0)</f>
        <v>304</v>
      </c>
      <c r="I23" s="1" t="s">
        <v>14</v>
      </c>
      <c r="J23" s="1">
        <f>VLOOKUP(B23,'Barrel Pricelist'!A:I,5,0)</f>
        <v>0</v>
      </c>
      <c r="K23" s="1" t="s">
        <v>14</v>
      </c>
      <c r="L23" s="1">
        <f>VLOOKUP(B23,'Barrel Pricelist'!A:I,6,0)</f>
        <v>0</v>
      </c>
      <c r="M23" s="1" t="s">
        <v>14</v>
      </c>
      <c r="N23" s="1">
        <f>VLOOKUP(B23,'Barrel Pricelist'!A:I,7,0)</f>
        <v>0</v>
      </c>
      <c r="O23" s="1" t="s">
        <v>14</v>
      </c>
      <c r="P23" s="1">
        <f>VLOOKUP(B23,'Barrel Pricelist'!A:I,8,0)</f>
        <v>358.71999999999997</v>
      </c>
      <c r="Q23" s="1" t="s">
        <v>14</v>
      </c>
      <c r="R23" s="1">
        <f>VLOOKUP(B23,'Barrel Pricelist'!A:I,9,0)</f>
        <v>75331.199999999997</v>
      </c>
      <c r="S23" s="1" t="s">
        <v>12</v>
      </c>
      <c r="T23" s="25" t="str">
        <f t="shared" si="0"/>
        <v>&lt;tr&gt; &lt;td&gt;7264401&lt;/td&gt;&lt;td&gt;SERVO MG HECTOR PETROL ENGINE OIL-210 L&lt;/td&gt;&lt;td&gt;210&lt;/td&gt;&lt;td&gt;304&lt;/td&gt;&lt;td&gt;0&lt;/td&gt;&lt;td&gt;0&lt;/td&gt;&lt;td&gt;0&lt;/td&gt;&lt;td&gt;358.72&lt;/td&gt;&lt;td&gt;75331.2&lt;/td&gt;&lt;/tr&gt;</v>
      </c>
    </row>
    <row r="24" spans="1:20" x14ac:dyDescent="0.3">
      <c r="A24" s="1" t="s">
        <v>13</v>
      </c>
      <c r="B24" s="1">
        <f>'Barrel Pricelist'!A23</f>
        <v>7267401</v>
      </c>
      <c r="C24" s="1" t="s">
        <v>14</v>
      </c>
      <c r="D24" s="1" t="str">
        <f>VLOOKUP(B24,'Barrel Pricelist'!A:I,2,0)</f>
        <v>SERVO MG HECTOR DIESEL ENGINE OIL-210 L</v>
      </c>
      <c r="E24" s="1" t="s">
        <v>14</v>
      </c>
      <c r="F24" s="1">
        <f>VLOOKUP(B24,'Barrel Pricelist'!A:I,3,0)</f>
        <v>210</v>
      </c>
      <c r="G24" s="1" t="s">
        <v>14</v>
      </c>
      <c r="H24" s="1">
        <f>VLOOKUP(B24,'Barrel Pricelist'!A:I,4,0)</f>
        <v>693</v>
      </c>
      <c r="I24" s="1" t="s">
        <v>14</v>
      </c>
      <c r="J24" s="1">
        <f>VLOOKUP(B24,'Barrel Pricelist'!A:I,5,0)</f>
        <v>0</v>
      </c>
      <c r="K24" s="1" t="s">
        <v>14</v>
      </c>
      <c r="L24" s="1">
        <f>VLOOKUP(B24,'Barrel Pricelist'!A:I,6,0)</f>
        <v>0</v>
      </c>
      <c r="M24" s="1" t="s">
        <v>14</v>
      </c>
      <c r="N24" s="1">
        <f>VLOOKUP(B24,'Barrel Pricelist'!A:I,7,0)</f>
        <v>0</v>
      </c>
      <c r="O24" s="1" t="s">
        <v>14</v>
      </c>
      <c r="P24" s="1">
        <f>VLOOKUP(B24,'Barrel Pricelist'!A:I,8,0)</f>
        <v>817.74</v>
      </c>
      <c r="Q24" s="1" t="s">
        <v>14</v>
      </c>
      <c r="R24" s="1">
        <f>VLOOKUP(B24,'Barrel Pricelist'!A:I,9,0)</f>
        <v>171725.4</v>
      </c>
      <c r="S24" s="1" t="s">
        <v>12</v>
      </c>
      <c r="T24" s="25" t="str">
        <f t="shared" si="0"/>
        <v>&lt;tr&gt; &lt;td&gt;7267401&lt;/td&gt;&lt;td&gt;SERVO MG HECTOR DIESEL ENGINE OIL-210 L&lt;/td&gt;&lt;td&gt;210&lt;/td&gt;&lt;td&gt;693&lt;/td&gt;&lt;td&gt;0&lt;/td&gt;&lt;td&gt;0&lt;/td&gt;&lt;td&gt;0&lt;/td&gt;&lt;td&gt;817.74&lt;/td&gt;&lt;td&gt;171725.4&lt;/td&gt;&lt;/tr&gt;</v>
      </c>
    </row>
    <row r="25" spans="1:20" x14ac:dyDescent="0.3">
      <c r="A25" s="1" t="s">
        <v>13</v>
      </c>
      <c r="B25" s="1">
        <f>'Barrel Pricelist'!A24</f>
        <v>7265401</v>
      </c>
      <c r="C25" s="1" t="s">
        <v>14</v>
      </c>
      <c r="D25" s="1" t="str">
        <f>VLOOKUP(B25,'Barrel Pricelist'!A:I,2,0)</f>
        <v>SERVO MG GLOSTER DIESEL EO-210 L</v>
      </c>
      <c r="E25" s="1" t="s">
        <v>14</v>
      </c>
      <c r="F25" s="1">
        <f>VLOOKUP(B25,'Barrel Pricelist'!A:I,3,0)</f>
        <v>210</v>
      </c>
      <c r="G25" s="1" t="s">
        <v>14</v>
      </c>
      <c r="H25" s="1">
        <f>VLOOKUP(B25,'Barrel Pricelist'!A:I,4,0)</f>
        <v>443</v>
      </c>
      <c r="I25" s="1" t="s">
        <v>14</v>
      </c>
      <c r="J25" s="1">
        <f>VLOOKUP(B25,'Barrel Pricelist'!A:I,5,0)</f>
        <v>0</v>
      </c>
      <c r="K25" s="1" t="s">
        <v>14</v>
      </c>
      <c r="L25" s="1">
        <f>VLOOKUP(B25,'Barrel Pricelist'!A:I,6,0)</f>
        <v>0</v>
      </c>
      <c r="M25" s="1" t="s">
        <v>14</v>
      </c>
      <c r="N25" s="1">
        <f>VLOOKUP(B25,'Barrel Pricelist'!A:I,7,0)</f>
        <v>0</v>
      </c>
      <c r="O25" s="1" t="s">
        <v>14</v>
      </c>
      <c r="P25" s="1">
        <f>VLOOKUP(B25,'Barrel Pricelist'!A:I,8,0)</f>
        <v>522.74</v>
      </c>
      <c r="Q25" s="1" t="s">
        <v>14</v>
      </c>
      <c r="R25" s="1">
        <f>VLOOKUP(B25,'Barrel Pricelist'!A:I,9,0)</f>
        <v>109775.40000000001</v>
      </c>
      <c r="S25" s="1" t="s">
        <v>12</v>
      </c>
      <c r="T25" s="25" t="str">
        <f t="shared" si="0"/>
        <v>&lt;tr&gt; &lt;td&gt;7265401&lt;/td&gt;&lt;td&gt;SERVO MG GLOSTER DIESEL EO-210 L&lt;/td&gt;&lt;td&gt;210&lt;/td&gt;&lt;td&gt;443&lt;/td&gt;&lt;td&gt;0&lt;/td&gt;&lt;td&gt;0&lt;/td&gt;&lt;td&gt;0&lt;/td&gt;&lt;td&gt;522.74&lt;/td&gt;&lt;td&gt;109775.4&lt;/td&gt;&lt;/tr&gt;</v>
      </c>
    </row>
    <row r="26" spans="1:20" x14ac:dyDescent="0.3">
      <c r="A26" s="1" t="s">
        <v>13</v>
      </c>
      <c r="B26" s="1">
        <f>'Barrel Pricelist'!A25</f>
        <v>1301401</v>
      </c>
      <c r="C26" s="1" t="s">
        <v>14</v>
      </c>
      <c r="D26" s="1" t="str">
        <f>VLOOKUP(B26,'Barrel Pricelist'!A:I,2,0)</f>
        <v>SERVO ULTRA 10W - 210L BRL</v>
      </c>
      <c r="E26" s="1" t="s">
        <v>14</v>
      </c>
      <c r="F26" s="1">
        <f>VLOOKUP(B26,'Barrel Pricelist'!A:I,3,0)</f>
        <v>210</v>
      </c>
      <c r="G26" s="1" t="s">
        <v>14</v>
      </c>
      <c r="H26" s="1">
        <f>VLOOKUP(B26,'Barrel Pricelist'!A:I,4,0)</f>
        <v>231</v>
      </c>
      <c r="I26" s="1" t="s">
        <v>14</v>
      </c>
      <c r="J26" s="1">
        <f>VLOOKUP(B26,'Barrel Pricelist'!A:I,5,0)</f>
        <v>3</v>
      </c>
      <c r="K26" s="1" t="s">
        <v>14</v>
      </c>
      <c r="L26" s="1">
        <f>VLOOKUP(B26,'Barrel Pricelist'!A:I,6,0)</f>
        <v>0</v>
      </c>
      <c r="M26" s="1" t="s">
        <v>14</v>
      </c>
      <c r="N26" s="1">
        <f>VLOOKUP(B26,'Barrel Pricelist'!A:I,7,0)</f>
        <v>0</v>
      </c>
      <c r="O26" s="1" t="s">
        <v>14</v>
      </c>
      <c r="P26" s="1">
        <f>VLOOKUP(B26,'Barrel Pricelist'!A:I,8,0)</f>
        <v>269.03999999999996</v>
      </c>
      <c r="Q26" s="1" t="s">
        <v>14</v>
      </c>
      <c r="R26" s="1">
        <f>VLOOKUP(B26,'Barrel Pricelist'!A:I,9,0)</f>
        <v>56498.399999999994</v>
      </c>
      <c r="S26" s="1" t="s">
        <v>12</v>
      </c>
      <c r="T26" s="25" t="str">
        <f t="shared" si="0"/>
        <v>&lt;tr&gt; &lt;td&gt;1301401&lt;/td&gt;&lt;td&gt;SERVO ULTRA 10W - 210L BRL&lt;/td&gt;&lt;td&gt;210&lt;/td&gt;&lt;td&gt;231&lt;/td&gt;&lt;td&gt;3&lt;/td&gt;&lt;td&gt;0&lt;/td&gt;&lt;td&gt;0&lt;/td&gt;&lt;td&gt;269.04&lt;/td&gt;&lt;td&gt;56498.4&lt;/td&gt;&lt;/tr&gt;</v>
      </c>
    </row>
    <row r="27" spans="1:20" x14ac:dyDescent="0.3">
      <c r="A27" s="1" t="s">
        <v>13</v>
      </c>
      <c r="B27" s="1">
        <f>'Barrel Pricelist'!A26</f>
        <v>1404401</v>
      </c>
      <c r="C27" s="1" t="s">
        <v>14</v>
      </c>
      <c r="D27" s="1" t="str">
        <f>VLOOKUP(B27,'Barrel Pricelist'!A:I,2,0)</f>
        <v>SERVO PRIDE 40 - 210L BRL</v>
      </c>
      <c r="E27" s="1" t="s">
        <v>14</v>
      </c>
      <c r="F27" s="1">
        <f>VLOOKUP(B27,'Barrel Pricelist'!A:I,3,0)</f>
        <v>210</v>
      </c>
      <c r="G27" s="1" t="s">
        <v>14</v>
      </c>
      <c r="H27" s="1">
        <f>VLOOKUP(B27,'Barrel Pricelist'!A:I,4,0)</f>
        <v>268</v>
      </c>
      <c r="I27" s="1" t="s">
        <v>14</v>
      </c>
      <c r="J27" s="1">
        <f>VLOOKUP(B27,'Barrel Pricelist'!A:I,5,0)</f>
        <v>3</v>
      </c>
      <c r="K27" s="1" t="s">
        <v>14</v>
      </c>
      <c r="L27" s="1">
        <f>VLOOKUP(B27,'Barrel Pricelist'!A:I,6,0)</f>
        <v>0</v>
      </c>
      <c r="M27" s="1" t="s">
        <v>14</v>
      </c>
      <c r="N27" s="1">
        <f>VLOOKUP(B27,'Barrel Pricelist'!A:I,7,0)</f>
        <v>0</v>
      </c>
      <c r="O27" s="1" t="s">
        <v>14</v>
      </c>
      <c r="P27" s="1">
        <f>VLOOKUP(B27,'Barrel Pricelist'!A:I,8,0)</f>
        <v>312.7</v>
      </c>
      <c r="Q27" s="1" t="s">
        <v>14</v>
      </c>
      <c r="R27" s="1">
        <f>VLOOKUP(B27,'Barrel Pricelist'!A:I,9,0)</f>
        <v>65667</v>
      </c>
      <c r="S27" s="1" t="s">
        <v>12</v>
      </c>
      <c r="T27" s="25" t="str">
        <f t="shared" si="0"/>
        <v>&lt;tr&gt; &lt;td&gt;1404401&lt;/td&gt;&lt;td&gt;SERVO PRIDE 40 - 210L BRL&lt;/td&gt;&lt;td&gt;210&lt;/td&gt;&lt;td&gt;268&lt;/td&gt;&lt;td&gt;3&lt;/td&gt;&lt;td&gt;0&lt;/td&gt;&lt;td&gt;0&lt;/td&gt;&lt;td&gt;312.7&lt;/td&gt;&lt;td&gt;65667&lt;/td&gt;&lt;/tr&gt;</v>
      </c>
    </row>
    <row r="28" spans="1:20" x14ac:dyDescent="0.3">
      <c r="A28" s="1" t="s">
        <v>13</v>
      </c>
      <c r="B28" s="1">
        <f>'Barrel Pricelist'!A27</f>
        <v>7436401</v>
      </c>
      <c r="C28" s="1" t="s">
        <v>14</v>
      </c>
      <c r="D28" s="1" t="str">
        <f>VLOOKUP(B28,'Barrel Pricelist'!A:I,2,0)</f>
        <v>SERVO PRIDE NXT CK4 15W40-210 L BRL</v>
      </c>
      <c r="E28" s="1" t="s">
        <v>14</v>
      </c>
      <c r="F28" s="1">
        <f>VLOOKUP(B28,'Barrel Pricelist'!A:I,3,0)</f>
        <v>210</v>
      </c>
      <c r="G28" s="1" t="s">
        <v>14</v>
      </c>
      <c r="H28" s="1">
        <f>VLOOKUP(B28,'Barrel Pricelist'!A:I,4,0)</f>
        <v>295</v>
      </c>
      <c r="I28" s="1" t="s">
        <v>14</v>
      </c>
      <c r="J28" s="1">
        <f>VLOOKUP(B28,'Barrel Pricelist'!A:I,5,0)</f>
        <v>14</v>
      </c>
      <c r="K28" s="1" t="s">
        <v>14</v>
      </c>
      <c r="L28" s="1">
        <f>VLOOKUP(B28,'Barrel Pricelist'!A:I,6,0)</f>
        <v>0</v>
      </c>
      <c r="M28" s="1" t="s">
        <v>14</v>
      </c>
      <c r="N28" s="1">
        <f>VLOOKUP(B28,'Barrel Pricelist'!A:I,7,0)</f>
        <v>0</v>
      </c>
      <c r="O28" s="1" t="s">
        <v>14</v>
      </c>
      <c r="P28" s="1">
        <f>VLOOKUP(B28,'Barrel Pricelist'!A:I,8,0)</f>
        <v>331.58</v>
      </c>
      <c r="Q28" s="1" t="s">
        <v>14</v>
      </c>
      <c r="R28" s="1">
        <f>VLOOKUP(B28,'Barrel Pricelist'!A:I,9,0)</f>
        <v>69631.8</v>
      </c>
      <c r="S28" s="1" t="s">
        <v>12</v>
      </c>
      <c r="T28" s="25" t="str">
        <f t="shared" si="0"/>
        <v>&lt;tr&gt; &lt;td&gt;7436401&lt;/td&gt;&lt;td&gt;SERVO PRIDE NXT CK4 15W40-210 L BRL&lt;/td&gt;&lt;td&gt;210&lt;/td&gt;&lt;td&gt;295&lt;/td&gt;&lt;td&gt;14&lt;/td&gt;&lt;td&gt;0&lt;/td&gt;&lt;td&gt;0&lt;/td&gt;&lt;td&gt;331.58&lt;/td&gt;&lt;td&gt;69631.8&lt;/td&gt;&lt;/tr&gt;</v>
      </c>
    </row>
    <row r="29" spans="1:20" x14ac:dyDescent="0.3">
      <c r="A29" s="1" t="s">
        <v>13</v>
      </c>
      <c r="B29" s="1">
        <f>'Barrel Pricelist'!A28</f>
        <v>7470401</v>
      </c>
      <c r="C29" s="1" t="s">
        <v>14</v>
      </c>
      <c r="D29" s="1" t="str">
        <f>VLOOKUP(B29,'Barrel Pricelist'!A:I,2,0)</f>
        <v>SERVO FLEET SUPREME CI4 PLUS 15W-40- 210 L</v>
      </c>
      <c r="E29" s="1" t="s">
        <v>14</v>
      </c>
      <c r="F29" s="1">
        <f>VLOOKUP(B29,'Barrel Pricelist'!A:I,3,0)</f>
        <v>210</v>
      </c>
      <c r="G29" s="1" t="s">
        <v>14</v>
      </c>
      <c r="H29" s="1">
        <f>VLOOKUP(B29,'Barrel Pricelist'!A:I,4,0)</f>
        <v>239</v>
      </c>
      <c r="I29" s="1" t="s">
        <v>14</v>
      </c>
      <c r="J29" s="1">
        <f>VLOOKUP(B29,'Barrel Pricelist'!A:I,5,0)</f>
        <v>9</v>
      </c>
      <c r="K29" s="1" t="s">
        <v>14</v>
      </c>
      <c r="L29" s="1">
        <f>VLOOKUP(B29,'Barrel Pricelist'!A:I,6,0)</f>
        <v>0</v>
      </c>
      <c r="M29" s="1" t="s">
        <v>14</v>
      </c>
      <c r="N29" s="1">
        <f>VLOOKUP(B29,'Barrel Pricelist'!A:I,7,0)</f>
        <v>0</v>
      </c>
      <c r="O29" s="1" t="s">
        <v>14</v>
      </c>
      <c r="P29" s="1">
        <f>VLOOKUP(B29,'Barrel Pricelist'!A:I,8,0)</f>
        <v>271.39999999999998</v>
      </c>
      <c r="Q29" s="1" t="s">
        <v>14</v>
      </c>
      <c r="R29" s="1">
        <f>VLOOKUP(B29,'Barrel Pricelist'!A:I,9,0)</f>
        <v>56993.999999999993</v>
      </c>
      <c r="S29" s="1" t="s">
        <v>12</v>
      </c>
      <c r="T29" s="25" t="str">
        <f t="shared" si="0"/>
        <v>&lt;tr&gt; &lt;td&gt;7470401&lt;/td&gt;&lt;td&gt;SERVO FLEET SUPREME CI4 PLUS 15W-40- 210 L&lt;/td&gt;&lt;td&gt;210&lt;/td&gt;&lt;td&gt;239&lt;/td&gt;&lt;td&gt;9&lt;/td&gt;&lt;td&gt;0&lt;/td&gt;&lt;td&gt;0&lt;/td&gt;&lt;td&gt;271.4&lt;/td&gt;&lt;td&gt;56994&lt;/td&gt;&lt;/tr&gt;</v>
      </c>
    </row>
    <row r="30" spans="1:20" x14ac:dyDescent="0.3">
      <c r="A30" s="1" t="s">
        <v>13</v>
      </c>
      <c r="B30" s="1">
        <f>'Barrel Pricelist'!A29</f>
        <v>7472401</v>
      </c>
      <c r="C30" s="1" t="s">
        <v>14</v>
      </c>
      <c r="D30" s="1" t="str">
        <f>VLOOKUP(B30,'Barrel Pricelist'!A:I,2,0)</f>
        <v>SERVO FLT CF4 15W-40-210 L BRL</v>
      </c>
      <c r="E30" s="1" t="s">
        <v>14</v>
      </c>
      <c r="F30" s="1">
        <f>VLOOKUP(B30,'Barrel Pricelist'!A:I,3,0)</f>
        <v>210</v>
      </c>
      <c r="G30" s="1" t="s">
        <v>14</v>
      </c>
      <c r="H30" s="1">
        <f>VLOOKUP(B30,'Barrel Pricelist'!A:I,4,0)</f>
        <v>235</v>
      </c>
      <c r="I30" s="1" t="s">
        <v>14</v>
      </c>
      <c r="J30" s="1">
        <f>VLOOKUP(B30,'Barrel Pricelist'!A:I,5,0)</f>
        <v>4</v>
      </c>
      <c r="K30" s="1" t="s">
        <v>14</v>
      </c>
      <c r="L30" s="1">
        <f>VLOOKUP(B30,'Barrel Pricelist'!A:I,6,0)</f>
        <v>0</v>
      </c>
      <c r="M30" s="1" t="s">
        <v>14</v>
      </c>
      <c r="N30" s="1">
        <f>VLOOKUP(B30,'Barrel Pricelist'!A:I,7,0)</f>
        <v>0</v>
      </c>
      <c r="O30" s="1" t="s">
        <v>14</v>
      </c>
      <c r="P30" s="1">
        <f>VLOOKUP(B30,'Barrel Pricelist'!A:I,8,0)</f>
        <v>272.58</v>
      </c>
      <c r="Q30" s="1" t="s">
        <v>14</v>
      </c>
      <c r="R30" s="1">
        <f>VLOOKUP(B30,'Barrel Pricelist'!A:I,9,0)</f>
        <v>57241.799999999996</v>
      </c>
      <c r="S30" s="1" t="s">
        <v>12</v>
      </c>
      <c r="T30" s="25" t="str">
        <f t="shared" si="0"/>
        <v>&lt;tr&gt; &lt;td&gt;7472401&lt;/td&gt;&lt;td&gt;SERVO FLT CF4 15W-40-210 L BRL&lt;/td&gt;&lt;td&gt;210&lt;/td&gt;&lt;td&gt;235&lt;/td&gt;&lt;td&gt;4&lt;/td&gt;&lt;td&gt;0&lt;/td&gt;&lt;td&gt;0&lt;/td&gt;&lt;td&gt;272.58&lt;/td&gt;&lt;td&gt;57241.8&lt;/td&gt;&lt;/tr&gt;</v>
      </c>
    </row>
    <row r="31" spans="1:20" x14ac:dyDescent="0.3">
      <c r="A31" s="1" t="s">
        <v>13</v>
      </c>
      <c r="B31" s="1">
        <f>'Barrel Pricelist'!A30</f>
        <v>7485401</v>
      </c>
      <c r="C31" s="1" t="s">
        <v>14</v>
      </c>
      <c r="D31" s="1" t="str">
        <f>VLOOKUP(B31,'Barrel Pricelist'!A:I,2,0)</f>
        <v>SERVO SUPER 20W-40 MG-210 L BRL</v>
      </c>
      <c r="E31" s="1" t="s">
        <v>14</v>
      </c>
      <c r="F31" s="1">
        <f>VLOOKUP(B31,'Barrel Pricelist'!A:I,3,0)</f>
        <v>210</v>
      </c>
      <c r="G31" s="1" t="s">
        <v>14</v>
      </c>
      <c r="H31" s="1">
        <f>VLOOKUP(B31,'Barrel Pricelist'!A:I,4,0)</f>
        <v>232</v>
      </c>
      <c r="I31" s="1" t="s">
        <v>14</v>
      </c>
      <c r="J31" s="1">
        <f>VLOOKUP(B31,'Barrel Pricelist'!A:I,5,0)</f>
        <v>14</v>
      </c>
      <c r="K31" s="1" t="s">
        <v>14</v>
      </c>
      <c r="L31" s="1">
        <f>VLOOKUP(B31,'Barrel Pricelist'!A:I,6,0)</f>
        <v>0</v>
      </c>
      <c r="M31" s="1" t="s">
        <v>14</v>
      </c>
      <c r="N31" s="1">
        <f>VLOOKUP(B31,'Barrel Pricelist'!A:I,7,0)</f>
        <v>0</v>
      </c>
      <c r="O31" s="1" t="s">
        <v>14</v>
      </c>
      <c r="P31" s="1">
        <f>VLOOKUP(B31,'Barrel Pricelist'!A:I,8,0)</f>
        <v>257.24</v>
      </c>
      <c r="Q31" s="1" t="s">
        <v>14</v>
      </c>
      <c r="R31" s="1">
        <f>VLOOKUP(B31,'Barrel Pricelist'!A:I,9,0)</f>
        <v>54020.4</v>
      </c>
      <c r="S31" s="1" t="s">
        <v>12</v>
      </c>
      <c r="T31" s="25" t="str">
        <f t="shared" si="0"/>
        <v>&lt;tr&gt; &lt;td&gt;7485401&lt;/td&gt;&lt;td&gt;SERVO SUPER 20W-40 MG-210 L BRL&lt;/td&gt;&lt;td&gt;210&lt;/td&gt;&lt;td&gt;232&lt;/td&gt;&lt;td&gt;14&lt;/td&gt;&lt;td&gt;0&lt;/td&gt;&lt;td&gt;0&lt;/td&gt;&lt;td&gt;257.24&lt;/td&gt;&lt;td&gt;54020.4&lt;/td&gt;&lt;/tr&gt;</v>
      </c>
    </row>
    <row r="32" spans="1:20" x14ac:dyDescent="0.3">
      <c r="A32" s="1" t="s">
        <v>13</v>
      </c>
      <c r="B32" s="1">
        <f>'Barrel Pricelist'!A31</f>
        <v>7489271</v>
      </c>
      <c r="C32" s="1" t="s">
        <v>14</v>
      </c>
      <c r="D32" s="1" t="str">
        <f>VLOOKUP(B32,'Barrel Pricelist'!A:I,2,0)</f>
        <v>SERVO PRIDE XL PLUS 15W40-50 L</v>
      </c>
      <c r="E32" s="1" t="s">
        <v>14</v>
      </c>
      <c r="F32" s="1">
        <f>VLOOKUP(B32,'Barrel Pricelist'!A:I,3,0)</f>
        <v>50</v>
      </c>
      <c r="G32" s="1" t="s">
        <v>14</v>
      </c>
      <c r="H32" s="1">
        <f>VLOOKUP(B32,'Barrel Pricelist'!A:I,4,0)</f>
        <v>291</v>
      </c>
      <c r="I32" s="1" t="s">
        <v>14</v>
      </c>
      <c r="J32" s="1">
        <f>VLOOKUP(B32,'Barrel Pricelist'!A:I,5,0)</f>
        <v>19</v>
      </c>
      <c r="K32" s="1" t="s">
        <v>14</v>
      </c>
      <c r="L32" s="1">
        <f>VLOOKUP(B32,'Barrel Pricelist'!A:I,6,0)</f>
        <v>0</v>
      </c>
      <c r="M32" s="1" t="s">
        <v>14</v>
      </c>
      <c r="N32" s="1">
        <f>VLOOKUP(B32,'Barrel Pricelist'!A:I,7,0)</f>
        <v>0</v>
      </c>
      <c r="O32" s="1" t="s">
        <v>14</v>
      </c>
      <c r="P32" s="1">
        <f>VLOOKUP(B32,'Barrel Pricelist'!A:I,8,0)</f>
        <v>320.95999999999998</v>
      </c>
      <c r="Q32" s="1" t="s">
        <v>14</v>
      </c>
      <c r="R32" s="1">
        <f>VLOOKUP(B32,'Barrel Pricelist'!A:I,9,0)</f>
        <v>16047.999999999998</v>
      </c>
      <c r="S32" s="1" t="s">
        <v>12</v>
      </c>
      <c r="T32" s="25" t="str">
        <f t="shared" si="0"/>
        <v>&lt;tr&gt; &lt;td&gt;7489271&lt;/td&gt;&lt;td&gt;SERVO PRIDE XL PLUS 15W40-50 L&lt;/td&gt;&lt;td&gt;50&lt;/td&gt;&lt;td&gt;291&lt;/td&gt;&lt;td&gt;19&lt;/td&gt;&lt;td&gt;0&lt;/td&gt;&lt;td&gt;0&lt;/td&gt;&lt;td&gt;320.96&lt;/td&gt;&lt;td&gt;16048&lt;/td&gt;&lt;/tr&gt;</v>
      </c>
    </row>
    <row r="33" spans="1:20" x14ac:dyDescent="0.3">
      <c r="A33" s="1" t="s">
        <v>13</v>
      </c>
      <c r="B33" s="1">
        <f>'Barrel Pricelist'!A32</f>
        <v>7489401</v>
      </c>
      <c r="C33" s="1" t="s">
        <v>14</v>
      </c>
      <c r="D33" s="1" t="str">
        <f>VLOOKUP(B33,'Barrel Pricelist'!A:I,2,0)</f>
        <v>SERVO PRIDE XL PLUS 15W40-210 L BRL</v>
      </c>
      <c r="E33" s="1" t="s">
        <v>14</v>
      </c>
      <c r="F33" s="1">
        <f>VLOOKUP(B33,'Barrel Pricelist'!A:I,3,0)</f>
        <v>210</v>
      </c>
      <c r="G33" s="1" t="s">
        <v>14</v>
      </c>
      <c r="H33" s="1">
        <f>VLOOKUP(B33,'Barrel Pricelist'!A:I,4,0)</f>
        <v>289</v>
      </c>
      <c r="I33" s="1" t="s">
        <v>14</v>
      </c>
      <c r="J33" s="1">
        <f>VLOOKUP(B33,'Barrel Pricelist'!A:I,5,0)</f>
        <v>19</v>
      </c>
      <c r="K33" s="1" t="s">
        <v>14</v>
      </c>
      <c r="L33" s="1">
        <f>VLOOKUP(B33,'Barrel Pricelist'!A:I,6,0)</f>
        <v>0</v>
      </c>
      <c r="M33" s="1" t="s">
        <v>14</v>
      </c>
      <c r="N33" s="1">
        <f>VLOOKUP(B33,'Barrel Pricelist'!A:I,7,0)</f>
        <v>0</v>
      </c>
      <c r="O33" s="1" t="s">
        <v>14</v>
      </c>
      <c r="P33" s="1">
        <f>VLOOKUP(B33,'Barrel Pricelist'!A:I,8,0)</f>
        <v>318.59999999999997</v>
      </c>
      <c r="Q33" s="1" t="s">
        <v>14</v>
      </c>
      <c r="R33" s="1">
        <f>VLOOKUP(B33,'Barrel Pricelist'!A:I,9,0)</f>
        <v>66906</v>
      </c>
      <c r="S33" s="1" t="s">
        <v>12</v>
      </c>
      <c r="T33" s="25" t="str">
        <f t="shared" si="0"/>
        <v>&lt;tr&gt; &lt;td&gt;7489401&lt;/td&gt;&lt;td&gt;SERVO PRIDE XL PLUS 15W40-210 L BRL&lt;/td&gt;&lt;td&gt;210&lt;/td&gt;&lt;td&gt;289&lt;/td&gt;&lt;td&gt;19&lt;/td&gt;&lt;td&gt;0&lt;/td&gt;&lt;td&gt;0&lt;/td&gt;&lt;td&gt;318.6&lt;/td&gt;&lt;td&gt;66906&lt;/td&gt;&lt;/tr&gt;</v>
      </c>
    </row>
    <row r="34" spans="1:20" x14ac:dyDescent="0.3">
      <c r="A34" s="1" t="s">
        <v>13</v>
      </c>
      <c r="B34" s="1">
        <f>'Barrel Pricelist'!A33</f>
        <v>7494401</v>
      </c>
      <c r="C34" s="1" t="s">
        <v>14</v>
      </c>
      <c r="D34" s="1" t="str">
        <f>VLOOKUP(B34,'Barrel Pricelist'!A:I,2,0)</f>
        <v>SERVO SUP.MULT.GRD 20W-40-210 L BRL</v>
      </c>
      <c r="E34" s="1" t="s">
        <v>14</v>
      </c>
      <c r="F34" s="1">
        <f>VLOOKUP(B34,'Barrel Pricelist'!A:I,3,0)</f>
        <v>210</v>
      </c>
      <c r="G34" s="1" t="s">
        <v>14</v>
      </c>
      <c r="H34" s="1">
        <f>VLOOKUP(B34,'Barrel Pricelist'!A:I,4,0)</f>
        <v>254</v>
      </c>
      <c r="I34" s="1" t="s">
        <v>14</v>
      </c>
      <c r="J34" s="1">
        <f>VLOOKUP(B34,'Barrel Pricelist'!A:I,5,0)</f>
        <v>0</v>
      </c>
      <c r="K34" s="1" t="s">
        <v>14</v>
      </c>
      <c r="L34" s="1">
        <f>VLOOKUP(B34,'Barrel Pricelist'!A:I,6,0)</f>
        <v>0</v>
      </c>
      <c r="M34" s="1" t="s">
        <v>14</v>
      </c>
      <c r="N34" s="1">
        <f>VLOOKUP(B34,'Barrel Pricelist'!A:I,7,0)</f>
        <v>0</v>
      </c>
      <c r="O34" s="1" t="s">
        <v>14</v>
      </c>
      <c r="P34" s="1">
        <f>VLOOKUP(B34,'Barrel Pricelist'!A:I,8,0)</f>
        <v>299.71999999999997</v>
      </c>
      <c r="Q34" s="1" t="s">
        <v>14</v>
      </c>
      <c r="R34" s="1">
        <f>VLOOKUP(B34,'Barrel Pricelist'!A:I,9,0)</f>
        <v>62941.2</v>
      </c>
      <c r="S34" s="1" t="s">
        <v>12</v>
      </c>
      <c r="T34" s="25" t="str">
        <f t="shared" si="0"/>
        <v>&lt;tr&gt; &lt;td&gt;7494401&lt;/td&gt;&lt;td&gt;SERVO SUP.MULT.GRD 20W-40-210 L BRL&lt;/td&gt;&lt;td&gt;210&lt;/td&gt;&lt;td&gt;254&lt;/td&gt;&lt;td&gt;0&lt;/td&gt;&lt;td&gt;0&lt;/td&gt;&lt;td&gt;0&lt;/td&gt;&lt;td&gt;299.72&lt;/td&gt;&lt;td&gt;62941.2&lt;/td&gt;&lt;/tr&gt;</v>
      </c>
    </row>
    <row r="35" spans="1:20" x14ac:dyDescent="0.3">
      <c r="A35" s="1" t="s">
        <v>13</v>
      </c>
      <c r="B35" s="1">
        <f>'Barrel Pricelist'!A34</f>
        <v>7577271</v>
      </c>
      <c r="C35" s="1" t="s">
        <v>14</v>
      </c>
      <c r="D35" s="1" t="str">
        <f>VLOOKUP(B35,'Barrel Pricelist'!A:I,2,0)</f>
        <v>SERVO PREMIUM CF-4 15W-40-50L HDPE DRUM</v>
      </c>
      <c r="E35" s="1" t="s">
        <v>14</v>
      </c>
      <c r="F35" s="1">
        <f>VLOOKUP(B35,'Barrel Pricelist'!A:I,3,0)</f>
        <v>50</v>
      </c>
      <c r="G35" s="1" t="s">
        <v>14</v>
      </c>
      <c r="H35" s="1">
        <f>VLOOKUP(B35,'Barrel Pricelist'!A:I,4,0)</f>
        <v>258</v>
      </c>
      <c r="I35" s="1" t="s">
        <v>14</v>
      </c>
      <c r="J35" s="1">
        <f>VLOOKUP(B35,'Barrel Pricelist'!A:I,5,0)</f>
        <v>14</v>
      </c>
      <c r="K35" s="1" t="s">
        <v>14</v>
      </c>
      <c r="L35" s="1">
        <f>VLOOKUP(B35,'Barrel Pricelist'!A:I,6,0)</f>
        <v>0</v>
      </c>
      <c r="M35" s="1" t="s">
        <v>14</v>
      </c>
      <c r="N35" s="1">
        <f>VLOOKUP(B35,'Barrel Pricelist'!A:I,7,0)</f>
        <v>0</v>
      </c>
      <c r="O35" s="1" t="s">
        <v>14</v>
      </c>
      <c r="P35" s="1">
        <f>VLOOKUP(B35,'Barrel Pricelist'!A:I,8,0)</f>
        <v>287.91999999999996</v>
      </c>
      <c r="Q35" s="1" t="s">
        <v>14</v>
      </c>
      <c r="R35" s="1">
        <f>VLOOKUP(B35,'Barrel Pricelist'!A:I,9,0)</f>
        <v>14395.999999999998</v>
      </c>
      <c r="S35" s="1" t="s">
        <v>12</v>
      </c>
      <c r="T35" s="25" t="str">
        <f t="shared" si="0"/>
        <v>&lt;tr&gt; &lt;td&gt;7577271&lt;/td&gt;&lt;td&gt;SERVO PREMIUM CF-4 15W-40-50L HDPE DRUM&lt;/td&gt;&lt;td&gt;50&lt;/td&gt;&lt;td&gt;258&lt;/td&gt;&lt;td&gt;14&lt;/td&gt;&lt;td&gt;0&lt;/td&gt;&lt;td&gt;0&lt;/td&gt;&lt;td&gt;287.92&lt;/td&gt;&lt;td&gt;14396&lt;/td&gt;&lt;/tr&gt;</v>
      </c>
    </row>
    <row r="36" spans="1:20" x14ac:dyDescent="0.3">
      <c r="A36" s="1" t="s">
        <v>13</v>
      </c>
      <c r="B36" s="1">
        <f>'Barrel Pricelist'!A35</f>
        <v>7577401</v>
      </c>
      <c r="C36" s="1" t="s">
        <v>14</v>
      </c>
      <c r="D36" s="1" t="str">
        <f>VLOOKUP(B36,'Barrel Pricelist'!A:I,2,0)</f>
        <v>SERVO PREMIUM CF-4 15W-40 - 210L BRL</v>
      </c>
      <c r="E36" s="1" t="s">
        <v>14</v>
      </c>
      <c r="F36" s="1">
        <f>VLOOKUP(B36,'Barrel Pricelist'!A:I,3,0)</f>
        <v>210</v>
      </c>
      <c r="G36" s="1" t="s">
        <v>14</v>
      </c>
      <c r="H36" s="1">
        <f>VLOOKUP(B36,'Barrel Pricelist'!A:I,4,0)</f>
        <v>257</v>
      </c>
      <c r="I36" s="1" t="s">
        <v>14</v>
      </c>
      <c r="J36" s="1">
        <f>VLOOKUP(B36,'Barrel Pricelist'!A:I,5,0)</f>
        <v>15</v>
      </c>
      <c r="K36" s="1" t="s">
        <v>14</v>
      </c>
      <c r="L36" s="1">
        <f>VLOOKUP(B36,'Barrel Pricelist'!A:I,6,0)</f>
        <v>0</v>
      </c>
      <c r="M36" s="1" t="s">
        <v>14</v>
      </c>
      <c r="N36" s="1">
        <f>VLOOKUP(B36,'Barrel Pricelist'!A:I,7,0)</f>
        <v>0</v>
      </c>
      <c r="O36" s="1" t="s">
        <v>14</v>
      </c>
      <c r="P36" s="1">
        <f>VLOOKUP(B36,'Barrel Pricelist'!A:I,8,0)</f>
        <v>285.56</v>
      </c>
      <c r="Q36" s="1" t="s">
        <v>14</v>
      </c>
      <c r="R36" s="1">
        <f>VLOOKUP(B36,'Barrel Pricelist'!A:I,9,0)</f>
        <v>59967.6</v>
      </c>
      <c r="S36" s="1" t="s">
        <v>12</v>
      </c>
      <c r="T36" s="25" t="str">
        <f t="shared" si="0"/>
        <v>&lt;tr&gt; &lt;td&gt;7577401&lt;/td&gt;&lt;td&gt;SERVO PREMIUM CF-4 15W-40 - 210L BRL&lt;/td&gt;&lt;td&gt;210&lt;/td&gt;&lt;td&gt;257&lt;/td&gt;&lt;td&gt;15&lt;/td&gt;&lt;td&gt;0&lt;/td&gt;&lt;td&gt;0&lt;/td&gt;&lt;td&gt;285.56&lt;/td&gt;&lt;td&gt;59967.6&lt;/td&gt;&lt;/tr&gt;</v>
      </c>
    </row>
    <row r="37" spans="1:20" x14ac:dyDescent="0.3">
      <c r="A37" s="1" t="s">
        <v>13</v>
      </c>
      <c r="B37" s="1">
        <f>'Barrel Pricelist'!A36</f>
        <v>7612401</v>
      </c>
      <c r="C37" s="1" t="s">
        <v>14</v>
      </c>
      <c r="D37" s="1" t="str">
        <f>VLOOKUP(B37,'Barrel Pricelist'!A:I,2,0)</f>
        <v>SERVO PRIDE XL 15W-40 - 210L BRL</v>
      </c>
      <c r="E37" s="1" t="s">
        <v>14</v>
      </c>
      <c r="F37" s="1">
        <f>VLOOKUP(B37,'Barrel Pricelist'!A:I,3,0)</f>
        <v>210</v>
      </c>
      <c r="G37" s="1" t="s">
        <v>14</v>
      </c>
      <c r="H37" s="1">
        <f>VLOOKUP(B37,'Barrel Pricelist'!A:I,4,0)</f>
        <v>264</v>
      </c>
      <c r="I37" s="1" t="s">
        <v>14</v>
      </c>
      <c r="J37" s="1">
        <f>VLOOKUP(B37,'Barrel Pricelist'!A:I,5,0)</f>
        <v>19</v>
      </c>
      <c r="K37" s="1" t="s">
        <v>14</v>
      </c>
      <c r="L37" s="1">
        <f>VLOOKUP(B37,'Barrel Pricelist'!A:I,6,0)</f>
        <v>0</v>
      </c>
      <c r="M37" s="1" t="s">
        <v>14</v>
      </c>
      <c r="N37" s="1">
        <f>VLOOKUP(B37,'Barrel Pricelist'!A:I,7,0)</f>
        <v>0</v>
      </c>
      <c r="O37" s="1" t="s">
        <v>14</v>
      </c>
      <c r="P37" s="1">
        <f>VLOOKUP(B37,'Barrel Pricelist'!A:I,8,0)</f>
        <v>289.09999999999997</v>
      </c>
      <c r="Q37" s="1" t="s">
        <v>14</v>
      </c>
      <c r="R37" s="1">
        <f>VLOOKUP(B37,'Barrel Pricelist'!A:I,9,0)</f>
        <v>60710.999999999993</v>
      </c>
      <c r="S37" s="1" t="s">
        <v>12</v>
      </c>
      <c r="T37" s="25" t="str">
        <f t="shared" si="0"/>
        <v>&lt;tr&gt; &lt;td&gt;7612401&lt;/td&gt;&lt;td&gt;SERVO PRIDE XL 15W-40 - 210L BRL&lt;/td&gt;&lt;td&gt;210&lt;/td&gt;&lt;td&gt;264&lt;/td&gt;&lt;td&gt;19&lt;/td&gt;&lt;td&gt;0&lt;/td&gt;&lt;td&gt;0&lt;/td&gt;&lt;td&gt;289.1&lt;/td&gt;&lt;td&gt;60711&lt;/td&gt;&lt;/tr&gt;</v>
      </c>
    </row>
    <row r="38" spans="1:20" x14ac:dyDescent="0.3">
      <c r="A38" s="1" t="s">
        <v>13</v>
      </c>
      <c r="B38" s="1">
        <f>'Barrel Pricelist'!A37</f>
        <v>2502401</v>
      </c>
      <c r="C38" s="1" t="s">
        <v>14</v>
      </c>
      <c r="D38" s="1" t="str">
        <f>VLOOKUP(B38,'Barrel Pricelist'!A:I,2,0)</f>
        <v>SERVO GEAR HP 90 - 210L BRL</v>
      </c>
      <c r="E38" s="1" t="s">
        <v>14</v>
      </c>
      <c r="F38" s="1">
        <f>VLOOKUP(B38,'Barrel Pricelist'!A:I,3,0)</f>
        <v>210</v>
      </c>
      <c r="G38" s="1" t="s">
        <v>14</v>
      </c>
      <c r="H38" s="1">
        <f>VLOOKUP(B38,'Barrel Pricelist'!A:I,4,0)</f>
        <v>269</v>
      </c>
      <c r="I38" s="1" t="s">
        <v>14</v>
      </c>
      <c r="J38" s="1">
        <f>VLOOKUP(B38,'Barrel Pricelist'!A:I,5,0)</f>
        <v>19</v>
      </c>
      <c r="K38" s="1" t="s">
        <v>14</v>
      </c>
      <c r="L38" s="1">
        <f>VLOOKUP(B38,'Barrel Pricelist'!A:I,6,0)</f>
        <v>0</v>
      </c>
      <c r="M38" s="1" t="s">
        <v>14</v>
      </c>
      <c r="N38" s="1">
        <f>VLOOKUP(B38,'Barrel Pricelist'!A:I,7,0)</f>
        <v>0</v>
      </c>
      <c r="O38" s="1" t="s">
        <v>14</v>
      </c>
      <c r="P38" s="1">
        <f>VLOOKUP(B38,'Barrel Pricelist'!A:I,8,0)</f>
        <v>295</v>
      </c>
      <c r="Q38" s="1" t="s">
        <v>14</v>
      </c>
      <c r="R38" s="1">
        <f>VLOOKUP(B38,'Barrel Pricelist'!A:I,9,0)</f>
        <v>61950</v>
      </c>
      <c r="S38" s="1" t="s">
        <v>12</v>
      </c>
      <c r="T38" s="25" t="str">
        <f t="shared" si="0"/>
        <v>&lt;tr&gt; &lt;td&gt;2502401&lt;/td&gt;&lt;td&gt;SERVO GEAR HP 90 - 210L BRL&lt;/td&gt;&lt;td&gt;210&lt;/td&gt;&lt;td&gt;269&lt;/td&gt;&lt;td&gt;19&lt;/td&gt;&lt;td&gt;0&lt;/td&gt;&lt;td&gt;0&lt;/td&gt;&lt;td&gt;295&lt;/td&gt;&lt;td&gt;61950&lt;/td&gt;&lt;/tr&gt;</v>
      </c>
    </row>
    <row r="39" spans="1:20" x14ac:dyDescent="0.3">
      <c r="A39" s="1" t="s">
        <v>13</v>
      </c>
      <c r="B39" s="1">
        <f>'Barrel Pricelist'!A38</f>
        <v>2503401</v>
      </c>
      <c r="C39" s="1" t="s">
        <v>14</v>
      </c>
      <c r="D39" s="1" t="str">
        <f>VLOOKUP(B39,'Barrel Pricelist'!A:I,2,0)</f>
        <v>SERVO GEAR HP 140-210L BRL</v>
      </c>
      <c r="E39" s="1" t="s">
        <v>14</v>
      </c>
      <c r="F39" s="1">
        <f>VLOOKUP(B39,'Barrel Pricelist'!A:I,3,0)</f>
        <v>210</v>
      </c>
      <c r="G39" s="1" t="s">
        <v>14</v>
      </c>
      <c r="H39" s="1">
        <f>VLOOKUP(B39,'Barrel Pricelist'!A:I,4,0)</f>
        <v>285</v>
      </c>
      <c r="I39" s="1" t="s">
        <v>14</v>
      </c>
      <c r="J39" s="1">
        <f>VLOOKUP(B39,'Barrel Pricelist'!A:I,5,0)</f>
        <v>14</v>
      </c>
      <c r="K39" s="1" t="s">
        <v>14</v>
      </c>
      <c r="L39" s="1">
        <f>VLOOKUP(B39,'Barrel Pricelist'!A:I,6,0)</f>
        <v>0</v>
      </c>
      <c r="M39" s="1" t="s">
        <v>14</v>
      </c>
      <c r="N39" s="1">
        <f>VLOOKUP(B39,'Barrel Pricelist'!A:I,7,0)</f>
        <v>0</v>
      </c>
      <c r="O39" s="1" t="s">
        <v>14</v>
      </c>
      <c r="P39" s="1">
        <f>VLOOKUP(B39,'Barrel Pricelist'!A:I,8,0)</f>
        <v>319.77999999999997</v>
      </c>
      <c r="Q39" s="1" t="s">
        <v>14</v>
      </c>
      <c r="R39" s="1">
        <f>VLOOKUP(B39,'Barrel Pricelist'!A:I,9,0)</f>
        <v>67153.799999999988</v>
      </c>
      <c r="S39" s="1" t="s">
        <v>12</v>
      </c>
      <c r="T39" s="25" t="str">
        <f t="shared" si="0"/>
        <v>&lt;tr&gt; &lt;td&gt;2503401&lt;/td&gt;&lt;td&gt;SERVO GEAR HP 140-210L BRL&lt;/td&gt;&lt;td&gt;210&lt;/td&gt;&lt;td&gt;285&lt;/td&gt;&lt;td&gt;14&lt;/td&gt;&lt;td&gt;0&lt;/td&gt;&lt;td&gt;0&lt;/td&gt;&lt;td&gt;319.78&lt;/td&gt;&lt;td&gt;67153.8&lt;/td&gt;&lt;/tr&gt;</v>
      </c>
    </row>
    <row r="40" spans="1:20" x14ac:dyDescent="0.3">
      <c r="A40" s="1" t="s">
        <v>13</v>
      </c>
      <c r="B40" s="1">
        <f>'Barrel Pricelist'!A39</f>
        <v>4906401</v>
      </c>
      <c r="C40" s="1" t="s">
        <v>14</v>
      </c>
      <c r="D40" s="1" t="str">
        <f>VLOOKUP(B40,'Barrel Pricelist'!A:I,2,0)</f>
        <v>SERVO TRANSFLUID A - 210L BRL</v>
      </c>
      <c r="E40" s="1" t="s">
        <v>14</v>
      </c>
      <c r="F40" s="1">
        <f>VLOOKUP(B40,'Barrel Pricelist'!A:I,3,0)</f>
        <v>210</v>
      </c>
      <c r="G40" s="1" t="s">
        <v>14</v>
      </c>
      <c r="H40" s="1">
        <f>VLOOKUP(B40,'Barrel Pricelist'!A:I,4,0)</f>
        <v>228</v>
      </c>
      <c r="I40" s="1" t="s">
        <v>14</v>
      </c>
      <c r="J40" s="1">
        <f>VLOOKUP(B40,'Barrel Pricelist'!A:I,5,0)</f>
        <v>9</v>
      </c>
      <c r="K40" s="1" t="s">
        <v>14</v>
      </c>
      <c r="L40" s="1">
        <f>VLOOKUP(B40,'Barrel Pricelist'!A:I,6,0)</f>
        <v>0</v>
      </c>
      <c r="M40" s="1" t="s">
        <v>14</v>
      </c>
      <c r="N40" s="1">
        <f>VLOOKUP(B40,'Barrel Pricelist'!A:I,7,0)</f>
        <v>0</v>
      </c>
      <c r="O40" s="1" t="s">
        <v>14</v>
      </c>
      <c r="P40" s="1">
        <f>VLOOKUP(B40,'Barrel Pricelist'!A:I,8,0)</f>
        <v>258.41999999999996</v>
      </c>
      <c r="Q40" s="1" t="s">
        <v>14</v>
      </c>
      <c r="R40" s="1">
        <f>VLOOKUP(B40,'Barrel Pricelist'!A:I,9,0)</f>
        <v>54268.19999999999</v>
      </c>
      <c r="S40" s="1" t="s">
        <v>12</v>
      </c>
      <c r="T40" s="25" t="str">
        <f t="shared" si="0"/>
        <v>&lt;tr&gt; &lt;td&gt;4906401&lt;/td&gt;&lt;td&gt;SERVO TRANSFLUID A - 210L BRL&lt;/td&gt;&lt;td&gt;210&lt;/td&gt;&lt;td&gt;228&lt;/td&gt;&lt;td&gt;9&lt;/td&gt;&lt;td&gt;0&lt;/td&gt;&lt;td&gt;0&lt;/td&gt;&lt;td&gt;258.42&lt;/td&gt;&lt;td&gt;54268.2&lt;/td&gt;&lt;/tr&gt;</v>
      </c>
    </row>
    <row r="41" spans="1:20" x14ac:dyDescent="0.3">
      <c r="A41" s="1" t="s">
        <v>13</v>
      </c>
      <c r="B41" s="1">
        <f>'Barrel Pricelist'!A40</f>
        <v>4925401</v>
      </c>
      <c r="C41" s="1" t="s">
        <v>14</v>
      </c>
      <c r="D41" s="1" t="str">
        <f>VLOOKUP(B41,'Barrel Pricelist'!A:I,2,0)</f>
        <v>SERVO TRANSMISSION C4 SAE 30-210L BRL</v>
      </c>
      <c r="E41" s="1" t="s">
        <v>14</v>
      </c>
      <c r="F41" s="1">
        <f>VLOOKUP(B41,'Barrel Pricelist'!A:I,3,0)</f>
        <v>210</v>
      </c>
      <c r="G41" s="1" t="s">
        <v>14</v>
      </c>
      <c r="H41" s="1">
        <f>VLOOKUP(B41,'Barrel Pricelist'!A:I,4,0)</f>
        <v>240</v>
      </c>
      <c r="I41" s="1" t="s">
        <v>14</v>
      </c>
      <c r="J41" s="1">
        <f>VLOOKUP(B41,'Barrel Pricelist'!A:I,5,0)</f>
        <v>5</v>
      </c>
      <c r="K41" s="1" t="s">
        <v>14</v>
      </c>
      <c r="L41" s="1">
        <f>VLOOKUP(B41,'Barrel Pricelist'!A:I,6,0)</f>
        <v>0</v>
      </c>
      <c r="M41" s="1" t="s">
        <v>14</v>
      </c>
      <c r="N41" s="1">
        <f>VLOOKUP(B41,'Barrel Pricelist'!A:I,7,0)</f>
        <v>0</v>
      </c>
      <c r="O41" s="1" t="s">
        <v>14</v>
      </c>
      <c r="P41" s="1">
        <f>VLOOKUP(B41,'Barrel Pricelist'!A:I,8,0)</f>
        <v>277.3</v>
      </c>
      <c r="Q41" s="1" t="s">
        <v>14</v>
      </c>
      <c r="R41" s="1">
        <f>VLOOKUP(B41,'Barrel Pricelist'!A:I,9,0)</f>
        <v>58233</v>
      </c>
      <c r="S41" s="1" t="s">
        <v>12</v>
      </c>
      <c r="T41" s="25" t="str">
        <f t="shared" si="0"/>
        <v>&lt;tr&gt; &lt;td&gt;4925401&lt;/td&gt;&lt;td&gt;SERVO TRANSMISSION C4 SAE 30-210L BRL&lt;/td&gt;&lt;td&gt;210&lt;/td&gt;&lt;td&gt;240&lt;/td&gt;&lt;td&gt;5&lt;/td&gt;&lt;td&gt;0&lt;/td&gt;&lt;td&gt;0&lt;/td&gt;&lt;td&gt;277.3&lt;/td&gt;&lt;td&gt;58233&lt;/td&gt;&lt;/tr&gt;</v>
      </c>
    </row>
    <row r="42" spans="1:20" x14ac:dyDescent="0.3">
      <c r="A42" s="1" t="s">
        <v>13</v>
      </c>
      <c r="B42" s="1">
        <f>'Barrel Pricelist'!A41</f>
        <v>7511401</v>
      </c>
      <c r="C42" s="1" t="s">
        <v>14</v>
      </c>
      <c r="D42" s="1" t="str">
        <f>VLOOKUP(B42,'Barrel Pricelist'!A:I,2,0)</f>
        <v>SERVO GEAR SUPER 80W-90 - 210L BRL</v>
      </c>
      <c r="E42" s="1" t="s">
        <v>14</v>
      </c>
      <c r="F42" s="1">
        <f>VLOOKUP(B42,'Barrel Pricelist'!A:I,3,0)</f>
        <v>210</v>
      </c>
      <c r="G42" s="1" t="s">
        <v>14</v>
      </c>
      <c r="H42" s="1">
        <f>VLOOKUP(B42,'Barrel Pricelist'!A:I,4,0)</f>
        <v>278</v>
      </c>
      <c r="I42" s="1" t="s">
        <v>14</v>
      </c>
      <c r="J42" s="1">
        <f>VLOOKUP(B42,'Barrel Pricelist'!A:I,5,0)</f>
        <v>19</v>
      </c>
      <c r="K42" s="1" t="s">
        <v>14</v>
      </c>
      <c r="L42" s="1">
        <f>VLOOKUP(B42,'Barrel Pricelist'!A:I,6,0)</f>
        <v>0</v>
      </c>
      <c r="M42" s="1" t="s">
        <v>14</v>
      </c>
      <c r="N42" s="1">
        <f>VLOOKUP(B42,'Barrel Pricelist'!A:I,7,0)</f>
        <v>0</v>
      </c>
      <c r="O42" s="1" t="s">
        <v>14</v>
      </c>
      <c r="P42" s="1">
        <f>VLOOKUP(B42,'Barrel Pricelist'!A:I,8,0)</f>
        <v>305.62</v>
      </c>
      <c r="Q42" s="1" t="s">
        <v>14</v>
      </c>
      <c r="R42" s="1">
        <f>VLOOKUP(B42,'Barrel Pricelist'!A:I,9,0)</f>
        <v>64180.200000000004</v>
      </c>
      <c r="S42" s="1" t="s">
        <v>12</v>
      </c>
      <c r="T42" s="25" t="str">
        <f t="shared" si="0"/>
        <v>&lt;tr&gt; &lt;td&gt;7511401&lt;/td&gt;&lt;td&gt;SERVO GEAR SUPER 80W-90 - 210L BRL&lt;/td&gt;&lt;td&gt;210&lt;/td&gt;&lt;td&gt;278&lt;/td&gt;&lt;td&gt;19&lt;/td&gt;&lt;td&gt;0&lt;/td&gt;&lt;td&gt;0&lt;/td&gt;&lt;td&gt;305.62&lt;/td&gt;&lt;td&gt;64180.2&lt;/td&gt;&lt;/tr&gt;</v>
      </c>
    </row>
    <row r="43" spans="1:20" x14ac:dyDescent="0.3">
      <c r="A43" s="1" t="s">
        <v>13</v>
      </c>
      <c r="B43" s="1">
        <f>'Barrel Pricelist'!A42</f>
        <v>7515401</v>
      </c>
      <c r="C43" s="1" t="s">
        <v>14</v>
      </c>
      <c r="D43" s="1" t="str">
        <f>VLOOKUP(B43,'Barrel Pricelist'!A:I,2,0)</f>
        <v>SERVO GEAR SUPER 85W-140-210L BRL</v>
      </c>
      <c r="E43" s="1" t="s">
        <v>14</v>
      </c>
      <c r="F43" s="1">
        <f>VLOOKUP(B43,'Barrel Pricelist'!A:I,3,0)</f>
        <v>210</v>
      </c>
      <c r="G43" s="1" t="s">
        <v>14</v>
      </c>
      <c r="H43" s="1">
        <f>VLOOKUP(B43,'Barrel Pricelist'!A:I,4,0)</f>
        <v>291</v>
      </c>
      <c r="I43" s="1" t="s">
        <v>14</v>
      </c>
      <c r="J43" s="1">
        <f>VLOOKUP(B43,'Barrel Pricelist'!A:I,5,0)</f>
        <v>24</v>
      </c>
      <c r="K43" s="1" t="s">
        <v>14</v>
      </c>
      <c r="L43" s="1">
        <f>VLOOKUP(B43,'Barrel Pricelist'!A:I,6,0)</f>
        <v>0</v>
      </c>
      <c r="M43" s="1" t="s">
        <v>14</v>
      </c>
      <c r="N43" s="1">
        <f>VLOOKUP(B43,'Barrel Pricelist'!A:I,7,0)</f>
        <v>0</v>
      </c>
      <c r="O43" s="1" t="s">
        <v>14</v>
      </c>
      <c r="P43" s="1">
        <f>VLOOKUP(B43,'Barrel Pricelist'!A:I,8,0)</f>
        <v>315.06</v>
      </c>
      <c r="Q43" s="1" t="s">
        <v>14</v>
      </c>
      <c r="R43" s="1">
        <f>VLOOKUP(B43,'Barrel Pricelist'!A:I,9,0)</f>
        <v>66162.600000000006</v>
      </c>
      <c r="S43" s="1" t="s">
        <v>12</v>
      </c>
      <c r="T43" s="25" t="str">
        <f t="shared" si="0"/>
        <v>&lt;tr&gt; &lt;td&gt;7515401&lt;/td&gt;&lt;td&gt;SERVO GEAR SUPER 85W-140-210L BRL&lt;/td&gt;&lt;td&gt;210&lt;/td&gt;&lt;td&gt;291&lt;/td&gt;&lt;td&gt;24&lt;/td&gt;&lt;td&gt;0&lt;/td&gt;&lt;td&gt;0&lt;/td&gt;&lt;td&gt;315.06&lt;/td&gt;&lt;td&gt;66162.6&lt;/td&gt;&lt;/tr&gt;</v>
      </c>
    </row>
    <row r="44" spans="1:20" x14ac:dyDescent="0.3">
      <c r="A44" s="1" t="s">
        <v>13</v>
      </c>
      <c r="B44" s="1">
        <f>'Barrel Pricelist'!A43</f>
        <v>4950288</v>
      </c>
      <c r="C44" s="1" t="s">
        <v>14</v>
      </c>
      <c r="D44" s="1" t="str">
        <f>VLOOKUP(B44,'Barrel Pricelist'!A:I,2,0)</f>
        <v xml:space="preserve">SERVO OIB OIL-26 L </v>
      </c>
      <c r="E44" s="1" t="s">
        <v>14</v>
      </c>
      <c r="F44" s="1">
        <f>VLOOKUP(B44,'Barrel Pricelist'!A:I,3,0)</f>
        <v>26</v>
      </c>
      <c r="G44" s="1" t="s">
        <v>14</v>
      </c>
      <c r="H44" s="1">
        <f>VLOOKUP(B44,'Barrel Pricelist'!A:I,4,0)</f>
        <v>252</v>
      </c>
      <c r="I44" s="1" t="s">
        <v>14</v>
      </c>
      <c r="J44" s="1">
        <f>VLOOKUP(B44,'Barrel Pricelist'!A:I,5,0)</f>
        <v>34</v>
      </c>
      <c r="K44" s="1" t="s">
        <v>14</v>
      </c>
      <c r="L44" s="1">
        <f>VLOOKUP(B44,'Barrel Pricelist'!A:I,6,0)</f>
        <v>0</v>
      </c>
      <c r="M44" s="1" t="s">
        <v>14</v>
      </c>
      <c r="N44" s="1">
        <f>VLOOKUP(B44,'Barrel Pricelist'!A:I,7,0)</f>
        <v>0</v>
      </c>
      <c r="O44" s="1" t="s">
        <v>14</v>
      </c>
      <c r="P44" s="1">
        <f>VLOOKUP(B44,'Barrel Pricelist'!A:I,8,0)</f>
        <v>257.24</v>
      </c>
      <c r="Q44" s="1" t="s">
        <v>14</v>
      </c>
      <c r="R44" s="1">
        <f>VLOOKUP(B44,'Barrel Pricelist'!A:I,9,0)</f>
        <v>6688.24</v>
      </c>
      <c r="S44" s="1" t="s">
        <v>12</v>
      </c>
      <c r="T44" s="25" t="str">
        <f t="shared" si="0"/>
        <v>&lt;tr&gt; &lt;td&gt;4950288&lt;/td&gt;&lt;td&gt;SERVO OIB OIL-26 L &lt;/td&gt;&lt;td&gt;26&lt;/td&gt;&lt;td&gt;252&lt;/td&gt;&lt;td&gt;34&lt;/td&gt;&lt;td&gt;0&lt;/td&gt;&lt;td&gt;0&lt;/td&gt;&lt;td&gt;257.24&lt;/td&gt;&lt;td&gt;6688.24&lt;/td&gt;&lt;/tr&gt;</v>
      </c>
    </row>
    <row r="45" spans="1:20" x14ac:dyDescent="0.3">
      <c r="A45" s="1" t="s">
        <v>13</v>
      </c>
      <c r="B45" s="1">
        <f>'Barrel Pricelist'!A44</f>
        <v>4950401</v>
      </c>
      <c r="C45" s="1" t="s">
        <v>14</v>
      </c>
      <c r="D45" s="1" t="str">
        <f>VLOOKUP(B45,'Barrel Pricelist'!A:I,2,0)</f>
        <v>SERVO OIB OIL-210 L BRL</v>
      </c>
      <c r="E45" s="1" t="s">
        <v>14</v>
      </c>
      <c r="F45" s="1">
        <f>VLOOKUP(B45,'Barrel Pricelist'!A:I,3,0)</f>
        <v>210</v>
      </c>
      <c r="G45" s="1" t="s">
        <v>14</v>
      </c>
      <c r="H45" s="1">
        <f>VLOOKUP(B45,'Barrel Pricelist'!A:I,4,0)</f>
        <v>238</v>
      </c>
      <c r="I45" s="1" t="s">
        <v>14</v>
      </c>
      <c r="J45" s="1">
        <f>VLOOKUP(B45,'Barrel Pricelist'!A:I,5,0)</f>
        <v>0</v>
      </c>
      <c r="K45" s="1" t="s">
        <v>14</v>
      </c>
      <c r="L45" s="1">
        <f>VLOOKUP(B45,'Barrel Pricelist'!A:I,6,0)</f>
        <v>0</v>
      </c>
      <c r="M45" s="1" t="s">
        <v>14</v>
      </c>
      <c r="N45" s="1">
        <f>VLOOKUP(B45,'Barrel Pricelist'!A:I,7,0)</f>
        <v>0</v>
      </c>
      <c r="O45" s="1" t="s">
        <v>14</v>
      </c>
      <c r="P45" s="1">
        <f>VLOOKUP(B45,'Barrel Pricelist'!A:I,8,0)</f>
        <v>280.83999999999997</v>
      </c>
      <c r="Q45" s="1" t="s">
        <v>14</v>
      </c>
      <c r="R45" s="1">
        <f>VLOOKUP(B45,'Barrel Pricelist'!A:I,9,0)</f>
        <v>58976.399999999994</v>
      </c>
      <c r="S45" s="1" t="s">
        <v>12</v>
      </c>
      <c r="T45" s="25" t="str">
        <f t="shared" si="0"/>
        <v>&lt;tr&gt; &lt;td&gt;4950401&lt;/td&gt;&lt;td&gt;SERVO OIB OIL-210 L BRL&lt;/td&gt;&lt;td&gt;210&lt;/td&gt;&lt;td&gt;238&lt;/td&gt;&lt;td&gt;0&lt;/td&gt;&lt;td&gt;0&lt;/td&gt;&lt;td&gt;0&lt;/td&gt;&lt;td&gt;280.84&lt;/td&gt;&lt;td&gt;58976.4&lt;/td&gt;&lt;/tr&gt;</v>
      </c>
    </row>
    <row r="46" spans="1:20" x14ac:dyDescent="0.3">
      <c r="A46" s="1" t="s">
        <v>13</v>
      </c>
      <c r="B46" s="1">
        <f>'Barrel Pricelist'!A45</f>
        <v>7651401</v>
      </c>
      <c r="C46" s="1" t="s">
        <v>14</v>
      </c>
      <c r="D46" s="1" t="str">
        <f>VLOOKUP(B46,'Barrel Pricelist'!A:I,2,0)</f>
        <v>SERVO AGROSPRAY T - 210L BRL</v>
      </c>
      <c r="E46" s="1" t="s">
        <v>14</v>
      </c>
      <c r="F46" s="1">
        <f>VLOOKUP(B46,'Barrel Pricelist'!A:I,3,0)</f>
        <v>210</v>
      </c>
      <c r="G46" s="1" t="s">
        <v>14</v>
      </c>
      <c r="H46" s="1">
        <f>VLOOKUP(B46,'Barrel Pricelist'!A:I,4,0)</f>
        <v>198</v>
      </c>
      <c r="I46" s="1" t="s">
        <v>14</v>
      </c>
      <c r="J46" s="1">
        <f>VLOOKUP(B46,'Barrel Pricelist'!A:I,5,0)</f>
        <v>0</v>
      </c>
      <c r="K46" s="1" t="s">
        <v>14</v>
      </c>
      <c r="L46" s="1">
        <f>VLOOKUP(B46,'Barrel Pricelist'!A:I,6,0)</f>
        <v>0</v>
      </c>
      <c r="M46" s="1" t="s">
        <v>14</v>
      </c>
      <c r="N46" s="1">
        <f>VLOOKUP(B46,'Barrel Pricelist'!A:I,7,0)</f>
        <v>0</v>
      </c>
      <c r="O46" s="1" t="s">
        <v>14</v>
      </c>
      <c r="P46" s="1">
        <f>VLOOKUP(B46,'Barrel Pricelist'!A:I,8,0)</f>
        <v>233.64</v>
      </c>
      <c r="Q46" s="1" t="s">
        <v>14</v>
      </c>
      <c r="R46" s="1">
        <f>VLOOKUP(B46,'Barrel Pricelist'!A:I,9,0)</f>
        <v>49064.399999999994</v>
      </c>
      <c r="S46" s="1" t="s">
        <v>12</v>
      </c>
      <c r="T46" s="25" t="str">
        <f t="shared" si="0"/>
        <v>&lt;tr&gt; &lt;td&gt;7651401&lt;/td&gt;&lt;td&gt;SERVO AGROSPRAY T - 210L BRL&lt;/td&gt;&lt;td&gt;210&lt;/td&gt;&lt;td&gt;198&lt;/td&gt;&lt;td&gt;0&lt;/td&gt;&lt;td&gt;0&lt;/td&gt;&lt;td&gt;0&lt;/td&gt;&lt;td&gt;233.64&lt;/td&gt;&lt;td&gt;49064.4&lt;/td&gt;&lt;/tr&gt;</v>
      </c>
    </row>
    <row r="47" spans="1:20" x14ac:dyDescent="0.3">
      <c r="A47" s="1" t="s">
        <v>13</v>
      </c>
      <c r="B47" s="1">
        <f>'Barrel Pricelist'!A46</f>
        <v>2900401</v>
      </c>
      <c r="C47" s="1" t="s">
        <v>14</v>
      </c>
      <c r="D47" s="1" t="str">
        <f>VLOOKUP(B47,'Barrel Pricelist'!A:I,2,0)</f>
        <v>SERVO 2T SUPREME-210 L BRL</v>
      </c>
      <c r="E47" s="1" t="s">
        <v>14</v>
      </c>
      <c r="F47" s="1">
        <f>VLOOKUP(B47,'Barrel Pricelist'!A:I,3,0)</f>
        <v>210</v>
      </c>
      <c r="G47" s="1" t="s">
        <v>14</v>
      </c>
      <c r="H47" s="1">
        <f>VLOOKUP(B47,'Barrel Pricelist'!A:I,4,0)</f>
        <v>278.98</v>
      </c>
      <c r="I47" s="1" t="s">
        <v>14</v>
      </c>
      <c r="J47" s="1">
        <f>VLOOKUP(B47,'Barrel Pricelist'!A:I,5,0)</f>
        <v>0</v>
      </c>
      <c r="K47" s="1" t="s">
        <v>14</v>
      </c>
      <c r="L47" s="1">
        <f>VLOOKUP(B47,'Barrel Pricelist'!A:I,6,0)</f>
        <v>0</v>
      </c>
      <c r="M47" s="1" t="s">
        <v>14</v>
      </c>
      <c r="N47" s="1">
        <f>VLOOKUP(B47,'Barrel Pricelist'!A:I,7,0)</f>
        <v>0</v>
      </c>
      <c r="O47" s="1" t="s">
        <v>14</v>
      </c>
      <c r="P47" s="1">
        <f>VLOOKUP(B47,'Barrel Pricelist'!A:I,8,0)</f>
        <v>329.19639999999998</v>
      </c>
      <c r="Q47" s="1" t="s">
        <v>14</v>
      </c>
      <c r="R47" s="1">
        <f>VLOOKUP(B47,'Barrel Pricelist'!A:I,9,0)</f>
        <v>69131.243999999992</v>
      </c>
      <c r="S47" s="1" t="s">
        <v>12</v>
      </c>
      <c r="T47" s="25" t="str">
        <f t="shared" si="0"/>
        <v>&lt;tr&gt; &lt;td&gt;2900401&lt;/td&gt;&lt;td&gt;SERVO 2T SUPREME-210 L BRL&lt;/td&gt;&lt;td&gt;210&lt;/td&gt;&lt;td&gt;278.98&lt;/td&gt;&lt;td&gt;0&lt;/td&gt;&lt;td&gt;0&lt;/td&gt;&lt;td&gt;0&lt;/td&gt;&lt;td&gt;329.1964&lt;/td&gt;&lt;td&gt;69131.244&lt;/td&gt;&lt;/tr&gt;</v>
      </c>
    </row>
    <row r="48" spans="1:20" x14ac:dyDescent="0.3">
      <c r="A48" s="1" t="s">
        <v>13</v>
      </c>
      <c r="B48" s="1">
        <f>'Barrel Pricelist'!A47</f>
        <v>2900403</v>
      </c>
      <c r="C48" s="1" t="s">
        <v>14</v>
      </c>
      <c r="D48" s="1" t="str">
        <f>VLOOKUP(B48,'Barrel Pricelist'!A:I,2,0)</f>
        <v>SERVO 2T SUPREME-210 L HD</v>
      </c>
      <c r="E48" s="1" t="s">
        <v>14</v>
      </c>
      <c r="F48" s="1">
        <f>VLOOKUP(B48,'Barrel Pricelist'!A:I,3,0)</f>
        <v>210</v>
      </c>
      <c r="G48" s="1" t="s">
        <v>14</v>
      </c>
      <c r="H48" s="1">
        <f>VLOOKUP(B48,'Barrel Pricelist'!A:I,4,0)</f>
        <v>278.98</v>
      </c>
      <c r="I48" s="1" t="s">
        <v>14</v>
      </c>
      <c r="J48" s="1">
        <f>VLOOKUP(B48,'Barrel Pricelist'!A:I,5,0)</f>
        <v>0</v>
      </c>
      <c r="K48" s="1" t="s">
        <v>14</v>
      </c>
      <c r="L48" s="1">
        <f>VLOOKUP(B48,'Barrel Pricelist'!A:I,6,0)</f>
        <v>0</v>
      </c>
      <c r="M48" s="1" t="s">
        <v>14</v>
      </c>
      <c r="N48" s="1">
        <f>VLOOKUP(B48,'Barrel Pricelist'!A:I,7,0)</f>
        <v>0</v>
      </c>
      <c r="O48" s="1" t="s">
        <v>14</v>
      </c>
      <c r="P48" s="1">
        <f>VLOOKUP(B48,'Barrel Pricelist'!A:I,8,0)</f>
        <v>329.19639999999998</v>
      </c>
      <c r="Q48" s="1" t="s">
        <v>14</v>
      </c>
      <c r="R48" s="1">
        <f>VLOOKUP(B48,'Barrel Pricelist'!A:I,9,0)</f>
        <v>69131.243999999992</v>
      </c>
      <c r="S48" s="1" t="s">
        <v>12</v>
      </c>
      <c r="T48" s="25" t="str">
        <f t="shared" si="0"/>
        <v>&lt;tr&gt; &lt;td&gt;2900403&lt;/td&gt;&lt;td&gt;SERVO 2T SUPREME-210 L HD&lt;/td&gt;&lt;td&gt;210&lt;/td&gt;&lt;td&gt;278.98&lt;/td&gt;&lt;td&gt;0&lt;/td&gt;&lt;td&gt;0&lt;/td&gt;&lt;td&gt;0&lt;/td&gt;&lt;td&gt;329.1964&lt;/td&gt;&lt;td&gt;69131.244&lt;/td&gt;&lt;/tr&gt;</v>
      </c>
    </row>
    <row r="49" spans="1:20" x14ac:dyDescent="0.3">
      <c r="A49" s="1" t="s">
        <v>13</v>
      </c>
      <c r="B49" s="1">
        <f>'Barrel Pricelist'!A48</f>
        <v>7701451</v>
      </c>
      <c r="C49" s="1" t="s">
        <v>14</v>
      </c>
      <c r="D49" s="1" t="str">
        <f>VLOOKUP(B49,'Barrel Pricelist'!A:I,2,0)</f>
        <v>SERVO GREASE MP-182 KG DRM</v>
      </c>
      <c r="E49" s="1" t="s">
        <v>14</v>
      </c>
      <c r="F49" s="1">
        <f>VLOOKUP(B49,'Barrel Pricelist'!A:I,3,0)</f>
        <v>182</v>
      </c>
      <c r="G49" s="1" t="s">
        <v>14</v>
      </c>
      <c r="H49" s="1">
        <f>VLOOKUP(B49,'Barrel Pricelist'!A:I,4,0)</f>
        <v>300</v>
      </c>
      <c r="I49" s="1" t="s">
        <v>14</v>
      </c>
      <c r="J49" s="1">
        <f>VLOOKUP(B49,'Barrel Pricelist'!A:I,5,0)</f>
        <v>26</v>
      </c>
      <c r="K49" s="1" t="s">
        <v>14</v>
      </c>
      <c r="L49" s="1">
        <f>VLOOKUP(B49,'Barrel Pricelist'!A:I,6,0)</f>
        <v>0</v>
      </c>
      <c r="M49" s="1" t="s">
        <v>14</v>
      </c>
      <c r="N49" s="1">
        <f>VLOOKUP(B49,'Barrel Pricelist'!A:I,7,0)</f>
        <v>0</v>
      </c>
      <c r="O49" s="1" t="s">
        <v>14</v>
      </c>
      <c r="P49" s="1">
        <f>VLOOKUP(B49,'Barrel Pricelist'!A:I,8,0)</f>
        <v>323.32</v>
      </c>
      <c r="Q49" s="1" t="s">
        <v>14</v>
      </c>
      <c r="R49" s="1">
        <f>VLOOKUP(B49,'Barrel Pricelist'!A:I,9,0)</f>
        <v>58844.24</v>
      </c>
      <c r="S49" s="1" t="s">
        <v>12</v>
      </c>
      <c r="T49" s="25" t="str">
        <f t="shared" si="0"/>
        <v>&lt;tr&gt; &lt;td&gt;7701451&lt;/td&gt;&lt;td&gt;SERVO GREASE MP-182 KG DRM&lt;/td&gt;&lt;td&gt;182&lt;/td&gt;&lt;td&gt;300&lt;/td&gt;&lt;td&gt;26&lt;/td&gt;&lt;td&gt;0&lt;/td&gt;&lt;td&gt;0&lt;/td&gt;&lt;td&gt;323.32&lt;/td&gt;&lt;td&gt;58844.24&lt;/td&gt;&lt;/tr&gt;</v>
      </c>
    </row>
    <row r="50" spans="1:20" x14ac:dyDescent="0.3">
      <c r="A50" s="1" t="s">
        <v>13</v>
      </c>
      <c r="B50" s="1">
        <f>'Barrel Pricelist'!A49</f>
        <v>7705451</v>
      </c>
      <c r="C50" s="1" t="s">
        <v>14</v>
      </c>
      <c r="D50" s="1" t="str">
        <f>VLOOKUP(B50,'Barrel Pricelist'!A:I,2,0)</f>
        <v>SERVOGREASE MP 3 - 182 KG DRM</v>
      </c>
      <c r="E50" s="1" t="s">
        <v>14</v>
      </c>
      <c r="F50" s="1">
        <f>VLOOKUP(B50,'Barrel Pricelist'!A:I,3,0)</f>
        <v>182</v>
      </c>
      <c r="G50" s="1" t="s">
        <v>14</v>
      </c>
      <c r="H50" s="1">
        <f>VLOOKUP(B50,'Barrel Pricelist'!A:I,4,0)</f>
        <v>310</v>
      </c>
      <c r="I50" s="1" t="s">
        <v>14</v>
      </c>
      <c r="J50" s="1">
        <f>VLOOKUP(B50,'Barrel Pricelist'!A:I,5,0)</f>
        <v>35</v>
      </c>
      <c r="K50" s="1" t="s">
        <v>14</v>
      </c>
      <c r="L50" s="1">
        <f>VLOOKUP(B50,'Barrel Pricelist'!A:I,6,0)</f>
        <v>0</v>
      </c>
      <c r="M50" s="1" t="s">
        <v>14</v>
      </c>
      <c r="N50" s="1">
        <f>VLOOKUP(B50,'Barrel Pricelist'!A:I,7,0)</f>
        <v>0</v>
      </c>
      <c r="O50" s="1" t="s">
        <v>14</v>
      </c>
      <c r="P50" s="1">
        <f>VLOOKUP(B50,'Barrel Pricelist'!A:I,8,0)</f>
        <v>324.5</v>
      </c>
      <c r="Q50" s="1" t="s">
        <v>14</v>
      </c>
      <c r="R50" s="1">
        <f>VLOOKUP(B50,'Barrel Pricelist'!A:I,9,0)</f>
        <v>59059</v>
      </c>
      <c r="S50" s="1" t="s">
        <v>12</v>
      </c>
      <c r="T50" s="25" t="str">
        <f t="shared" si="0"/>
        <v>&lt;tr&gt; &lt;td&gt;7705451&lt;/td&gt;&lt;td&gt;SERVOGREASE MP 3 - 182 KG DRM&lt;/td&gt;&lt;td&gt;182&lt;/td&gt;&lt;td&gt;310&lt;/td&gt;&lt;td&gt;35&lt;/td&gt;&lt;td&gt;0&lt;/td&gt;&lt;td&gt;0&lt;/td&gt;&lt;td&gt;324.5&lt;/td&gt;&lt;td&gt;59059&lt;/td&gt;&lt;/tr&gt;</v>
      </c>
    </row>
    <row r="51" spans="1:20" x14ac:dyDescent="0.3">
      <c r="A51" s="1" t="s">
        <v>13</v>
      </c>
      <c r="B51" s="1">
        <f>'Barrel Pricelist'!A50</f>
        <v>7727451</v>
      </c>
      <c r="C51" s="1" t="s">
        <v>14</v>
      </c>
      <c r="D51" s="1" t="str">
        <f>VLOOKUP(B51,'Barrel Pricelist'!A:I,2,0)</f>
        <v>SERVO GEM RR 3-182 KG DRM</v>
      </c>
      <c r="E51" s="1" t="s">
        <v>14</v>
      </c>
      <c r="F51" s="1">
        <f>VLOOKUP(B51,'Barrel Pricelist'!A:I,3,0)</f>
        <v>182</v>
      </c>
      <c r="G51" s="1" t="s">
        <v>14</v>
      </c>
      <c r="H51" s="1">
        <f>VLOOKUP(B51,'Barrel Pricelist'!A:I,4,0)</f>
        <v>410</v>
      </c>
      <c r="I51" s="1" t="s">
        <v>14</v>
      </c>
      <c r="J51" s="1">
        <f>VLOOKUP(B51,'Barrel Pricelist'!A:I,5,0)</f>
        <v>55</v>
      </c>
      <c r="K51" s="1" t="s">
        <v>14</v>
      </c>
      <c r="L51" s="1">
        <f>VLOOKUP(B51,'Barrel Pricelist'!A:I,6,0)</f>
        <v>0</v>
      </c>
      <c r="M51" s="1" t="s">
        <v>14</v>
      </c>
      <c r="N51" s="1">
        <f>VLOOKUP(B51,'Barrel Pricelist'!A:I,7,0)</f>
        <v>0</v>
      </c>
      <c r="O51" s="1" t="s">
        <v>14</v>
      </c>
      <c r="P51" s="1">
        <f>VLOOKUP(B51,'Barrel Pricelist'!A:I,8,0)</f>
        <v>418.9</v>
      </c>
      <c r="Q51" s="1" t="s">
        <v>14</v>
      </c>
      <c r="R51" s="1">
        <f>VLOOKUP(B51,'Barrel Pricelist'!A:I,9,0)</f>
        <v>76239.8</v>
      </c>
      <c r="S51" s="1" t="s">
        <v>12</v>
      </c>
      <c r="T51" s="25" t="str">
        <f t="shared" si="0"/>
        <v>&lt;tr&gt; &lt;td&gt;7727451&lt;/td&gt;&lt;td&gt;SERVO GEM RR 3-182 KG DRM&lt;/td&gt;&lt;td&gt;182&lt;/td&gt;&lt;td&gt;410&lt;/td&gt;&lt;td&gt;55&lt;/td&gt;&lt;td&gt;0&lt;/td&gt;&lt;td&gt;0&lt;/td&gt;&lt;td&gt;418.9&lt;/td&gt;&lt;td&gt;76239.8&lt;/td&gt;&lt;/tr&gt;</v>
      </c>
    </row>
    <row r="52" spans="1:20" x14ac:dyDescent="0.3">
      <c r="A52" s="1" t="s">
        <v>13</v>
      </c>
      <c r="B52" s="1">
        <f>'Barrel Pricelist'!A51</f>
        <v>7849451</v>
      </c>
      <c r="C52" s="1" t="s">
        <v>14</v>
      </c>
      <c r="D52" s="1" t="str">
        <f>VLOOKUP(B52,'Barrel Pricelist'!A:I,2,0)</f>
        <v>SERVO LONG LIFE GREASE-182 KG DRM</v>
      </c>
      <c r="E52" s="1" t="s">
        <v>14</v>
      </c>
      <c r="F52" s="1">
        <f>VLOOKUP(B52,'Barrel Pricelist'!A:I,3,0)</f>
        <v>182</v>
      </c>
      <c r="G52" s="1" t="s">
        <v>14</v>
      </c>
      <c r="H52" s="1">
        <f>VLOOKUP(B52,'Barrel Pricelist'!A:I,4,0)</f>
        <v>395</v>
      </c>
      <c r="I52" s="1" t="s">
        <v>14</v>
      </c>
      <c r="J52" s="1">
        <f>VLOOKUP(B52,'Barrel Pricelist'!A:I,5,0)</f>
        <v>23</v>
      </c>
      <c r="K52" s="1" t="s">
        <v>14</v>
      </c>
      <c r="L52" s="1">
        <f>VLOOKUP(B52,'Barrel Pricelist'!A:I,6,0)</f>
        <v>0</v>
      </c>
      <c r="M52" s="1" t="s">
        <v>14</v>
      </c>
      <c r="N52" s="1">
        <f>VLOOKUP(B52,'Barrel Pricelist'!A:I,7,0)</f>
        <v>0</v>
      </c>
      <c r="O52" s="1" t="s">
        <v>14</v>
      </c>
      <c r="P52" s="1">
        <f>VLOOKUP(B52,'Barrel Pricelist'!A:I,8,0)</f>
        <v>438.96</v>
      </c>
      <c r="Q52" s="1" t="s">
        <v>14</v>
      </c>
      <c r="R52" s="1">
        <f>VLOOKUP(B52,'Barrel Pricelist'!A:I,9,0)</f>
        <v>79890.720000000001</v>
      </c>
      <c r="S52" s="1" t="s">
        <v>12</v>
      </c>
      <c r="T52" s="25" t="str">
        <f t="shared" si="0"/>
        <v>&lt;tr&gt; &lt;td&gt;7849451&lt;/td&gt;&lt;td&gt;SERVO LONG LIFE GREASE-182 KG DRM&lt;/td&gt;&lt;td&gt;182&lt;/td&gt;&lt;td&gt;395&lt;/td&gt;&lt;td&gt;23&lt;/td&gt;&lt;td&gt;0&lt;/td&gt;&lt;td&gt;0&lt;/td&gt;&lt;td&gt;438.96&lt;/td&gt;&lt;td&gt;79890.72&lt;/td&gt;&lt;/tr&gt;</v>
      </c>
    </row>
    <row r="53" spans="1:20" x14ac:dyDescent="0.3">
      <c r="A53" s="1" t="s">
        <v>13</v>
      </c>
      <c r="B53" s="1">
        <f>'Barrel Pricelist'!A52</f>
        <v>7903451</v>
      </c>
      <c r="C53" s="1" t="s">
        <v>14</v>
      </c>
      <c r="D53" s="1" t="str">
        <f>VLOOKUP(B53,'Barrel Pricelist'!A:I,2,0)</f>
        <v>SERVOGREASE MIRACLE 3-182 KG</v>
      </c>
      <c r="E53" s="1" t="s">
        <v>14</v>
      </c>
      <c r="F53" s="1">
        <f>VLOOKUP(B53,'Barrel Pricelist'!A:I,3,0)</f>
        <v>182</v>
      </c>
      <c r="G53" s="1" t="s">
        <v>14</v>
      </c>
      <c r="H53" s="1">
        <f>VLOOKUP(B53,'Barrel Pricelist'!A:I,4,0)</f>
        <v>395</v>
      </c>
      <c r="I53" s="1" t="s">
        <v>14</v>
      </c>
      <c r="J53" s="1">
        <f>VLOOKUP(B53,'Barrel Pricelist'!A:I,5,0)</f>
        <v>25</v>
      </c>
      <c r="K53" s="1" t="s">
        <v>14</v>
      </c>
      <c r="L53" s="1">
        <f>VLOOKUP(B53,'Barrel Pricelist'!A:I,6,0)</f>
        <v>0</v>
      </c>
      <c r="M53" s="1" t="s">
        <v>14</v>
      </c>
      <c r="N53" s="1">
        <f>VLOOKUP(B53,'Barrel Pricelist'!A:I,7,0)</f>
        <v>0</v>
      </c>
      <c r="O53" s="1" t="s">
        <v>14</v>
      </c>
      <c r="P53" s="1">
        <f>VLOOKUP(B53,'Barrel Pricelist'!A:I,8,0)</f>
        <v>436.59999999999997</v>
      </c>
      <c r="Q53" s="1" t="s">
        <v>14</v>
      </c>
      <c r="R53" s="1">
        <f>VLOOKUP(B53,'Barrel Pricelist'!A:I,9,0)</f>
        <v>79461.2</v>
      </c>
      <c r="S53" s="1" t="s">
        <v>12</v>
      </c>
      <c r="T53" s="25" t="str">
        <f t="shared" si="0"/>
        <v>&lt;tr&gt; &lt;td&gt;7903451&lt;/td&gt;&lt;td&gt;SERVOGREASE MIRACLE 3-182 KG&lt;/td&gt;&lt;td&gt;182&lt;/td&gt;&lt;td&gt;395&lt;/td&gt;&lt;td&gt;25&lt;/td&gt;&lt;td&gt;0&lt;/td&gt;&lt;td&gt;0&lt;/td&gt;&lt;td&gt;436.6&lt;/td&gt;&lt;td&gt;79461.2&lt;/td&gt;&lt;/tr&gt;</v>
      </c>
    </row>
    <row r="54" spans="1:20" x14ac:dyDescent="0.3">
      <c r="A54" s="1" t="s">
        <v>13</v>
      </c>
      <c r="B54" s="1">
        <f>'Barrel Pricelist'!A53</f>
        <v>7584401</v>
      </c>
      <c r="C54" s="1" t="s">
        <v>14</v>
      </c>
      <c r="D54" s="1" t="str">
        <f>VLOOKUP(B54,'Barrel Pricelist'!A:I,2,0)</f>
        <v>SERVO KOOL PLUS -210L BRL</v>
      </c>
      <c r="E54" s="1" t="s">
        <v>14</v>
      </c>
      <c r="F54" s="1">
        <f>VLOOKUP(B54,'Barrel Pricelist'!A:I,3,0)</f>
        <v>210</v>
      </c>
      <c r="G54" s="1" t="s">
        <v>14</v>
      </c>
      <c r="H54" s="1">
        <f>VLOOKUP(B54,'Barrel Pricelist'!A:I,4,0)</f>
        <v>244</v>
      </c>
      <c r="I54" s="1" t="s">
        <v>14</v>
      </c>
      <c r="J54" s="1">
        <f>VLOOKUP(B54,'Barrel Pricelist'!A:I,5,0)</f>
        <v>0</v>
      </c>
      <c r="K54" s="1" t="s">
        <v>14</v>
      </c>
      <c r="L54" s="1">
        <f>VLOOKUP(B54,'Barrel Pricelist'!A:I,6,0)</f>
        <v>0</v>
      </c>
      <c r="M54" s="1" t="s">
        <v>14</v>
      </c>
      <c r="N54" s="1">
        <f>VLOOKUP(B54,'Barrel Pricelist'!A:I,7,0)</f>
        <v>0</v>
      </c>
      <c r="O54" s="1" t="s">
        <v>14</v>
      </c>
      <c r="P54" s="1">
        <f>VLOOKUP(B54,'Barrel Pricelist'!A:I,8,0)</f>
        <v>287.91999999999996</v>
      </c>
      <c r="Q54" s="1" t="s">
        <v>14</v>
      </c>
      <c r="R54" s="1">
        <f>VLOOKUP(B54,'Barrel Pricelist'!A:I,9,0)</f>
        <v>60463.19999999999</v>
      </c>
      <c r="S54" s="1" t="s">
        <v>12</v>
      </c>
      <c r="T54" s="25" t="str">
        <f t="shared" si="0"/>
        <v>&lt;tr&gt; &lt;td&gt;7584401&lt;/td&gt;&lt;td&gt;SERVO KOOL PLUS -210L BRL&lt;/td&gt;&lt;td&gt;210&lt;/td&gt;&lt;td&gt;244&lt;/td&gt;&lt;td&gt;0&lt;/td&gt;&lt;td&gt;0&lt;/td&gt;&lt;td&gt;0&lt;/td&gt;&lt;td&gt;287.92&lt;/td&gt;&lt;td&gt;60463.2&lt;/td&gt;&lt;/tr&gt;</v>
      </c>
    </row>
    <row r="55" spans="1:20" x14ac:dyDescent="0.3">
      <c r="A55" s="1" t="s">
        <v>13</v>
      </c>
      <c r="B55" s="1">
        <f>'Barrel Pricelist'!A54</f>
        <v>2909401</v>
      </c>
      <c r="C55" s="1" t="s">
        <v>14</v>
      </c>
      <c r="D55" s="1" t="str">
        <f>VLOOKUP(B55,'Barrel Pricelist'!A:I,2,0)</f>
        <v>SERVO BRAKE FLUID SUPER HD  - 210L BRL</v>
      </c>
      <c r="E55" s="1" t="s">
        <v>14</v>
      </c>
      <c r="F55" s="1">
        <f>VLOOKUP(B55,'Barrel Pricelist'!A:I,3,0)</f>
        <v>210</v>
      </c>
      <c r="G55" s="1" t="s">
        <v>14</v>
      </c>
      <c r="H55" s="1">
        <f>VLOOKUP(B55,'Barrel Pricelist'!A:I,4,0)</f>
        <v>296</v>
      </c>
      <c r="I55" s="1" t="s">
        <v>14</v>
      </c>
      <c r="J55" s="1">
        <f>VLOOKUP(B55,'Barrel Pricelist'!A:I,5,0)</f>
        <v>0</v>
      </c>
      <c r="K55" s="1" t="s">
        <v>14</v>
      </c>
      <c r="L55" s="1">
        <f>VLOOKUP(B55,'Barrel Pricelist'!A:I,6,0)</f>
        <v>0</v>
      </c>
      <c r="M55" s="1" t="s">
        <v>14</v>
      </c>
      <c r="N55" s="1">
        <f>VLOOKUP(B55,'Barrel Pricelist'!A:I,7,0)</f>
        <v>0</v>
      </c>
      <c r="O55" s="1" t="s">
        <v>14</v>
      </c>
      <c r="P55" s="1">
        <f>VLOOKUP(B55,'Barrel Pricelist'!A:I,8,0)</f>
        <v>349.28</v>
      </c>
      <c r="Q55" s="1" t="s">
        <v>14</v>
      </c>
      <c r="R55" s="1">
        <f>VLOOKUP(B55,'Barrel Pricelist'!A:I,9,0)</f>
        <v>73348.799999999988</v>
      </c>
      <c r="S55" s="1" t="s">
        <v>12</v>
      </c>
      <c r="T55" s="25" t="str">
        <f t="shared" si="0"/>
        <v>&lt;tr&gt; &lt;td&gt;2909401&lt;/td&gt;&lt;td&gt;SERVO BRAKE FLUID SUPER HD  - 210L BRL&lt;/td&gt;&lt;td&gt;210&lt;/td&gt;&lt;td&gt;296&lt;/td&gt;&lt;td&gt;0&lt;/td&gt;&lt;td&gt;0&lt;/td&gt;&lt;td&gt;0&lt;/td&gt;&lt;td&gt;349.28&lt;/td&gt;&lt;td&gt;73348.8&lt;/td&gt;&lt;/tr&gt;</v>
      </c>
    </row>
    <row r="56" spans="1:20" x14ac:dyDescent="0.3">
      <c r="A56" s="1" t="s">
        <v>13</v>
      </c>
      <c r="B56" s="1">
        <f>'Barrel Pricelist'!A55</f>
        <v>7742451</v>
      </c>
      <c r="C56" s="1" t="s">
        <v>14</v>
      </c>
      <c r="D56" s="1" t="str">
        <f>VLOOKUP(B56,'Barrel Pricelist'!A:I,2,0)</f>
        <v>SERVOGEM EP 2-182 KG DRM</v>
      </c>
      <c r="E56" s="1" t="s">
        <v>14</v>
      </c>
      <c r="F56" s="1">
        <f>VLOOKUP(B56,'Barrel Pricelist'!A:I,3,0)</f>
        <v>182</v>
      </c>
      <c r="G56" s="1" t="s">
        <v>14</v>
      </c>
      <c r="H56" s="1">
        <f>VLOOKUP(B56,'Barrel Pricelist'!A:I,4,0)</f>
        <v>320</v>
      </c>
      <c r="I56" s="1" t="s">
        <v>14</v>
      </c>
      <c r="J56" s="1">
        <f>VLOOKUP(B56,'Barrel Pricelist'!A:I,5,0)</f>
        <v>0</v>
      </c>
      <c r="K56" s="1" t="s">
        <v>14</v>
      </c>
      <c r="L56" s="1">
        <f>VLOOKUP(B56,'Barrel Pricelist'!A:I,6,0)</f>
        <v>0</v>
      </c>
      <c r="M56" s="1" t="s">
        <v>14</v>
      </c>
      <c r="N56" s="1">
        <f>VLOOKUP(B56,'Barrel Pricelist'!A:I,7,0)</f>
        <v>0</v>
      </c>
      <c r="O56" s="1" t="s">
        <v>14</v>
      </c>
      <c r="P56" s="1">
        <f>VLOOKUP(B56,'Barrel Pricelist'!A:I,8,0)</f>
        <v>377.59999999999997</v>
      </c>
      <c r="Q56" s="1" t="s">
        <v>14</v>
      </c>
      <c r="R56" s="1">
        <f>VLOOKUP(B56,'Barrel Pricelist'!A:I,9,0)</f>
        <v>68723.199999999997</v>
      </c>
      <c r="S56" s="1" t="s">
        <v>12</v>
      </c>
      <c r="T56" s="25" t="str">
        <f t="shared" si="0"/>
        <v>&lt;tr&gt; &lt;td&gt;7742451&lt;/td&gt;&lt;td&gt;SERVOGEM EP 2-182 KG DRM&lt;/td&gt;&lt;td&gt;182&lt;/td&gt;&lt;td&gt;320&lt;/td&gt;&lt;td&gt;0&lt;/td&gt;&lt;td&gt;0&lt;/td&gt;&lt;td&gt;0&lt;/td&gt;&lt;td&gt;377.6&lt;/td&gt;&lt;td&gt;68723.2&lt;/td&gt;&lt;/tr&gt;</v>
      </c>
    </row>
    <row r="57" spans="1:20" x14ac:dyDescent="0.3">
      <c r="A57" s="1" t="s">
        <v>13</v>
      </c>
      <c r="B57" s="1">
        <f>'Barrel Pricelist'!A56</f>
        <v>3040288</v>
      </c>
      <c r="C57" s="1" t="s">
        <v>14</v>
      </c>
      <c r="D57" s="1" t="str">
        <f>VLOOKUP(B57,'Barrel Pricelist'!A:I,2,0)</f>
        <v>SERVOHYDRASHAKTI 68-26 L</v>
      </c>
      <c r="E57" s="1" t="s">
        <v>14</v>
      </c>
      <c r="F57" s="1">
        <f>VLOOKUP(B57,'Barrel Pricelist'!A:I,3,0)</f>
        <v>26</v>
      </c>
      <c r="G57" s="1" t="s">
        <v>14</v>
      </c>
      <c r="H57" s="1">
        <f>VLOOKUP(B57,'Barrel Pricelist'!A:I,4,0)</f>
        <v>183</v>
      </c>
      <c r="I57" s="1" t="s">
        <v>14</v>
      </c>
      <c r="J57" s="1">
        <f>VLOOKUP(B57,'Barrel Pricelist'!A:I,5,0)</f>
        <v>0</v>
      </c>
      <c r="K57" s="1" t="s">
        <v>14</v>
      </c>
      <c r="L57" s="1">
        <f>VLOOKUP(B57,'Barrel Pricelist'!A:I,6,0)</f>
        <v>0</v>
      </c>
      <c r="M57" s="1" t="s">
        <v>14</v>
      </c>
      <c r="N57" s="1">
        <f>VLOOKUP(B57,'Barrel Pricelist'!A:I,7,0)</f>
        <v>0</v>
      </c>
      <c r="O57" s="1" t="s">
        <v>14</v>
      </c>
      <c r="P57" s="1">
        <f>VLOOKUP(B57,'Barrel Pricelist'!A:I,8,0)</f>
        <v>215.94</v>
      </c>
      <c r="Q57" s="1" t="s">
        <v>14</v>
      </c>
      <c r="R57" s="1">
        <f>VLOOKUP(B57,'Barrel Pricelist'!A:I,9,0)</f>
        <v>5614.44</v>
      </c>
      <c r="S57" s="1" t="s">
        <v>12</v>
      </c>
      <c r="T57" s="25" t="str">
        <f t="shared" si="0"/>
        <v>&lt;tr&gt; &lt;td&gt;3040288&lt;/td&gt;&lt;td&gt;SERVOHYDRASHAKTI 68-26 L&lt;/td&gt;&lt;td&gt;26&lt;/td&gt;&lt;td&gt;183&lt;/td&gt;&lt;td&gt;0&lt;/td&gt;&lt;td&gt;0&lt;/td&gt;&lt;td&gt;0&lt;/td&gt;&lt;td&gt;215.94&lt;/td&gt;&lt;td&gt;5614.44&lt;/td&gt;&lt;/tr&gt;</v>
      </c>
    </row>
    <row r="58" spans="1:20" x14ac:dyDescent="0.3">
      <c r="A58" s="1" t="s">
        <v>13</v>
      </c>
      <c r="B58" s="1">
        <f>'Barrel Pricelist'!A57</f>
        <v>3006271</v>
      </c>
      <c r="C58" s="1" t="s">
        <v>14</v>
      </c>
      <c r="D58" s="1" t="str">
        <f>VLOOKUP(B58,'Barrel Pricelist'!A:I,2,0)</f>
        <v>SERVOSYSTEM 68 - 50L HDPE</v>
      </c>
      <c r="E58" s="1" t="s">
        <v>14</v>
      </c>
      <c r="F58" s="1">
        <f>VLOOKUP(B58,'Barrel Pricelist'!A:I,3,0)</f>
        <v>50</v>
      </c>
      <c r="G58" s="1" t="s">
        <v>14</v>
      </c>
      <c r="H58" s="1">
        <f>VLOOKUP(B58,'Barrel Pricelist'!A:I,4,0)</f>
        <v>248</v>
      </c>
      <c r="I58" s="1" t="s">
        <v>14</v>
      </c>
      <c r="J58" s="1">
        <f>VLOOKUP(B58,'Barrel Pricelist'!A:I,5,0)</f>
        <v>75</v>
      </c>
      <c r="K58" s="1" t="s">
        <v>14</v>
      </c>
      <c r="L58" s="1">
        <f>VLOOKUP(B58,'Barrel Pricelist'!A:I,6,0)</f>
        <v>0</v>
      </c>
      <c r="M58" s="1" t="s">
        <v>14</v>
      </c>
      <c r="N58" s="1">
        <f>VLOOKUP(B58,'Barrel Pricelist'!A:I,7,0)</f>
        <v>0</v>
      </c>
      <c r="O58" s="1" t="s">
        <v>14</v>
      </c>
      <c r="P58" s="1">
        <f>VLOOKUP(B58,'Barrel Pricelist'!A:I,8,0)</f>
        <v>204.14</v>
      </c>
      <c r="Q58" s="1" t="s">
        <v>14</v>
      </c>
      <c r="R58" s="1">
        <f>VLOOKUP(B58,'Barrel Pricelist'!A:I,9,0)</f>
        <v>10207</v>
      </c>
      <c r="S58" s="1" t="s">
        <v>12</v>
      </c>
      <c r="T58" s="25" t="str">
        <f t="shared" si="0"/>
        <v>&lt;tr&gt; &lt;td&gt;3006271&lt;/td&gt;&lt;td&gt;SERVOSYSTEM 68 - 50L HDPE&lt;/td&gt;&lt;td&gt;50&lt;/td&gt;&lt;td&gt;248&lt;/td&gt;&lt;td&gt;75&lt;/td&gt;&lt;td&gt;0&lt;/td&gt;&lt;td&gt;0&lt;/td&gt;&lt;td&gt;204.14&lt;/td&gt;&lt;td&gt;10207&lt;/td&gt;&lt;/tr&gt;</v>
      </c>
    </row>
    <row r="59" spans="1:20" x14ac:dyDescent="0.3">
      <c r="A59" s="1" t="s">
        <v>13</v>
      </c>
      <c r="B59" s="1">
        <f>'Barrel Pricelist'!A58</f>
        <v>3006288</v>
      </c>
      <c r="C59" s="1" t="s">
        <v>14</v>
      </c>
      <c r="D59" s="1" t="str">
        <f>VLOOKUP(B59,'Barrel Pricelist'!A:I,2,0)</f>
        <v>SERVOSYSTEM 68-26 L</v>
      </c>
      <c r="E59" s="1" t="s">
        <v>14</v>
      </c>
      <c r="F59" s="1">
        <f>VLOOKUP(B59,'Barrel Pricelist'!A:I,3,0)</f>
        <v>26</v>
      </c>
      <c r="G59" s="1" t="s">
        <v>14</v>
      </c>
      <c r="H59" s="1">
        <f>VLOOKUP(B59,'Barrel Pricelist'!A:I,4,0)</f>
        <v>249</v>
      </c>
      <c r="I59" s="1" t="s">
        <v>14</v>
      </c>
      <c r="J59" s="1">
        <f>VLOOKUP(B59,'Barrel Pricelist'!A:I,5,0)</f>
        <v>75</v>
      </c>
      <c r="K59" s="1" t="s">
        <v>14</v>
      </c>
      <c r="L59" s="1">
        <f>VLOOKUP(B59,'Barrel Pricelist'!A:I,6,0)</f>
        <v>0</v>
      </c>
      <c r="M59" s="1" t="s">
        <v>14</v>
      </c>
      <c r="N59" s="1">
        <f>VLOOKUP(B59,'Barrel Pricelist'!A:I,7,0)</f>
        <v>0</v>
      </c>
      <c r="O59" s="1" t="s">
        <v>14</v>
      </c>
      <c r="P59" s="1">
        <f>VLOOKUP(B59,'Barrel Pricelist'!A:I,8,0)</f>
        <v>205.32</v>
      </c>
      <c r="Q59" s="1" t="s">
        <v>14</v>
      </c>
      <c r="R59" s="1">
        <f>VLOOKUP(B59,'Barrel Pricelist'!A:I,9,0)</f>
        <v>5338.32</v>
      </c>
      <c r="S59" s="1" t="s">
        <v>12</v>
      </c>
      <c r="T59" s="25" t="str">
        <f t="shared" si="0"/>
        <v>&lt;tr&gt; &lt;td&gt;3006288&lt;/td&gt;&lt;td&gt;SERVOSYSTEM 68-26 L&lt;/td&gt;&lt;td&gt;26&lt;/td&gt;&lt;td&gt;249&lt;/td&gt;&lt;td&gt;75&lt;/td&gt;&lt;td&gt;0&lt;/td&gt;&lt;td&gt;0&lt;/td&gt;&lt;td&gt;205.32&lt;/td&gt;&lt;td&gt;5338.32&lt;/td&gt;&lt;/tr&gt;</v>
      </c>
    </row>
    <row r="60" spans="1:20" x14ac:dyDescent="0.3">
      <c r="A60" s="1" t="s">
        <v>13</v>
      </c>
      <c r="B60" s="1">
        <f>'Barrel Pricelist'!A59</f>
        <v>3001401</v>
      </c>
      <c r="C60" s="1" t="s">
        <v>14</v>
      </c>
      <c r="D60" s="1" t="str">
        <f>VLOOKUP(B60,'Barrel Pricelist'!A:I,2,0)</f>
        <v>SERVOSYSTEM 32 - 210L BRL</v>
      </c>
      <c r="E60" s="1" t="s">
        <v>14</v>
      </c>
      <c r="F60" s="1">
        <f>VLOOKUP(B60,'Barrel Pricelist'!A:I,3,0)</f>
        <v>210</v>
      </c>
      <c r="G60" s="1" t="s">
        <v>14</v>
      </c>
      <c r="H60" s="1">
        <f>VLOOKUP(B60,'Barrel Pricelist'!A:I,4,0)</f>
        <v>200</v>
      </c>
      <c r="I60" s="1" t="s">
        <v>14</v>
      </c>
      <c r="J60" s="1">
        <f>VLOOKUP(B60,'Barrel Pricelist'!A:I,5,0)</f>
        <v>0</v>
      </c>
      <c r="K60" s="1" t="s">
        <v>14</v>
      </c>
      <c r="L60" s="1">
        <f>VLOOKUP(B60,'Barrel Pricelist'!A:I,6,0)</f>
        <v>0</v>
      </c>
      <c r="M60" s="1" t="s">
        <v>14</v>
      </c>
      <c r="N60" s="1">
        <f>VLOOKUP(B60,'Barrel Pricelist'!A:I,7,0)</f>
        <v>0</v>
      </c>
      <c r="O60" s="1" t="s">
        <v>14</v>
      </c>
      <c r="P60" s="1">
        <f>VLOOKUP(B60,'Barrel Pricelist'!A:I,8,0)</f>
        <v>236</v>
      </c>
      <c r="Q60" s="1" t="s">
        <v>14</v>
      </c>
      <c r="R60" s="1">
        <f>VLOOKUP(B60,'Barrel Pricelist'!A:I,9,0)</f>
        <v>49560</v>
      </c>
      <c r="S60" s="1" t="s">
        <v>12</v>
      </c>
      <c r="T60" s="25" t="str">
        <f t="shared" si="0"/>
        <v>&lt;tr&gt; &lt;td&gt;3001401&lt;/td&gt;&lt;td&gt;SERVOSYSTEM 32 - 210L BRL&lt;/td&gt;&lt;td&gt;210&lt;/td&gt;&lt;td&gt;200&lt;/td&gt;&lt;td&gt;0&lt;/td&gt;&lt;td&gt;0&lt;/td&gt;&lt;td&gt;0&lt;/td&gt;&lt;td&gt;236&lt;/td&gt;&lt;td&gt;49560&lt;/td&gt;&lt;/tr&gt;</v>
      </c>
    </row>
    <row r="61" spans="1:20" x14ac:dyDescent="0.3">
      <c r="A61" s="1" t="s">
        <v>13</v>
      </c>
      <c r="B61" s="1">
        <f>'Barrel Pricelist'!A60</f>
        <v>3002401</v>
      </c>
      <c r="C61" s="1" t="s">
        <v>14</v>
      </c>
      <c r="D61" s="1" t="str">
        <f>VLOOKUP(B61,'Barrel Pricelist'!A:I,2,0)</f>
        <v>SERVOSYSTEM 46 - 210L BRL</v>
      </c>
      <c r="E61" s="1" t="s">
        <v>14</v>
      </c>
      <c r="F61" s="1">
        <f>VLOOKUP(B61,'Barrel Pricelist'!A:I,3,0)</f>
        <v>210</v>
      </c>
      <c r="G61" s="1" t="s">
        <v>14</v>
      </c>
      <c r="H61" s="1">
        <f>VLOOKUP(B61,'Barrel Pricelist'!A:I,4,0)</f>
        <v>205</v>
      </c>
      <c r="I61" s="1" t="s">
        <v>14</v>
      </c>
      <c r="J61" s="1">
        <f>VLOOKUP(B61,'Barrel Pricelist'!A:I,5,0)</f>
        <v>0</v>
      </c>
      <c r="K61" s="1" t="s">
        <v>14</v>
      </c>
      <c r="L61" s="1">
        <f>VLOOKUP(B61,'Barrel Pricelist'!A:I,6,0)</f>
        <v>0</v>
      </c>
      <c r="M61" s="1" t="s">
        <v>14</v>
      </c>
      <c r="N61" s="1">
        <f>VLOOKUP(B61,'Barrel Pricelist'!A:I,7,0)</f>
        <v>0</v>
      </c>
      <c r="O61" s="1" t="s">
        <v>14</v>
      </c>
      <c r="P61" s="1">
        <f>VLOOKUP(B61,'Barrel Pricelist'!A:I,8,0)</f>
        <v>241.89999999999998</v>
      </c>
      <c r="Q61" s="1" t="s">
        <v>14</v>
      </c>
      <c r="R61" s="1">
        <f>VLOOKUP(B61,'Barrel Pricelist'!A:I,9,0)</f>
        <v>50798.999999999993</v>
      </c>
      <c r="S61" s="1" t="s">
        <v>12</v>
      </c>
      <c r="T61" s="25" t="str">
        <f t="shared" si="0"/>
        <v>&lt;tr&gt; &lt;td&gt;3002401&lt;/td&gt;&lt;td&gt;SERVOSYSTEM 46 - 210L BRL&lt;/td&gt;&lt;td&gt;210&lt;/td&gt;&lt;td&gt;205&lt;/td&gt;&lt;td&gt;0&lt;/td&gt;&lt;td&gt;0&lt;/td&gt;&lt;td&gt;0&lt;/td&gt;&lt;td&gt;241.9&lt;/td&gt;&lt;td&gt;50799&lt;/td&gt;&lt;/tr&gt;</v>
      </c>
    </row>
    <row r="62" spans="1:20" x14ac:dyDescent="0.3">
      <c r="A62" s="1" t="s">
        <v>13</v>
      </c>
      <c r="B62" s="1">
        <f>'Barrel Pricelist'!A61</f>
        <v>3006401</v>
      </c>
      <c r="C62" s="1" t="s">
        <v>14</v>
      </c>
      <c r="D62" s="1" t="str">
        <f>VLOOKUP(B62,'Barrel Pricelist'!A:I,2,0)</f>
        <v>SERVOSYSTEM 68 - 210L BRL</v>
      </c>
      <c r="E62" s="1" t="s">
        <v>14</v>
      </c>
      <c r="F62" s="1">
        <f>VLOOKUP(B62,'Barrel Pricelist'!A:I,3,0)</f>
        <v>210</v>
      </c>
      <c r="G62" s="1" t="s">
        <v>14</v>
      </c>
      <c r="H62" s="1">
        <f>VLOOKUP(B62,'Barrel Pricelist'!A:I,4,0)</f>
        <v>215</v>
      </c>
      <c r="I62" s="1" t="s">
        <v>14</v>
      </c>
      <c r="J62" s="1">
        <f>VLOOKUP(B62,'Barrel Pricelist'!A:I,5,0)</f>
        <v>44</v>
      </c>
      <c r="K62" s="1" t="s">
        <v>14</v>
      </c>
      <c r="L62" s="1">
        <f>VLOOKUP(B62,'Barrel Pricelist'!A:I,6,0)</f>
        <v>0</v>
      </c>
      <c r="M62" s="1" t="s">
        <v>14</v>
      </c>
      <c r="N62" s="1">
        <f>VLOOKUP(B62,'Barrel Pricelist'!A:I,7,0)</f>
        <v>0</v>
      </c>
      <c r="O62" s="1" t="s">
        <v>14</v>
      </c>
      <c r="P62" s="1">
        <f>VLOOKUP(B62,'Barrel Pricelist'!A:I,8,0)</f>
        <v>201.78</v>
      </c>
      <c r="Q62" s="1" t="s">
        <v>14</v>
      </c>
      <c r="R62" s="1">
        <f>VLOOKUP(B62,'Barrel Pricelist'!A:I,9,0)</f>
        <v>42373.8</v>
      </c>
      <c r="S62" s="1" t="s">
        <v>12</v>
      </c>
      <c r="T62" s="25" t="str">
        <f t="shared" si="0"/>
        <v>&lt;tr&gt; &lt;td&gt;3006401&lt;/td&gt;&lt;td&gt;SERVOSYSTEM 68 - 210L BRL&lt;/td&gt;&lt;td&gt;210&lt;/td&gt;&lt;td&gt;215&lt;/td&gt;&lt;td&gt;44&lt;/td&gt;&lt;td&gt;0&lt;/td&gt;&lt;td&gt;0&lt;/td&gt;&lt;td&gt;201.78&lt;/td&gt;&lt;td&gt;42373.8&lt;/td&gt;&lt;/tr&gt;</v>
      </c>
    </row>
    <row r="63" spans="1:20" x14ac:dyDescent="0.3">
      <c r="A63" s="1" t="s">
        <v>13</v>
      </c>
      <c r="B63" s="1">
        <f>'Barrel Pricelist'!A62</f>
        <v>3007403</v>
      </c>
      <c r="C63" s="1" t="s">
        <v>14</v>
      </c>
      <c r="D63" s="1" t="str">
        <f>VLOOKUP(B63,'Barrel Pricelist'!A:I,2,0)</f>
        <v>SERVOSYSTEM 100-210 L HD</v>
      </c>
      <c r="E63" s="1" t="s">
        <v>14</v>
      </c>
      <c r="F63" s="1">
        <f>VLOOKUP(B63,'Barrel Pricelist'!A:I,3,0)</f>
        <v>210</v>
      </c>
      <c r="G63" s="1" t="s">
        <v>14</v>
      </c>
      <c r="H63" s="1">
        <f>VLOOKUP(B63,'Barrel Pricelist'!A:I,4,0)</f>
        <v>250</v>
      </c>
      <c r="I63" s="1" t="s">
        <v>14</v>
      </c>
      <c r="J63" s="1">
        <f>VLOOKUP(B63,'Barrel Pricelist'!A:I,5,0)</f>
        <v>0</v>
      </c>
      <c r="K63" s="1" t="s">
        <v>14</v>
      </c>
      <c r="L63" s="1">
        <f>VLOOKUP(B63,'Barrel Pricelist'!A:I,6,0)</f>
        <v>0</v>
      </c>
      <c r="M63" s="1" t="s">
        <v>14</v>
      </c>
      <c r="N63" s="1">
        <f>VLOOKUP(B63,'Barrel Pricelist'!A:I,7,0)</f>
        <v>0</v>
      </c>
      <c r="O63" s="1" t="s">
        <v>14</v>
      </c>
      <c r="P63" s="1">
        <f>VLOOKUP(B63,'Barrel Pricelist'!A:I,8,0)</f>
        <v>295</v>
      </c>
      <c r="Q63" s="1" t="s">
        <v>14</v>
      </c>
      <c r="R63" s="1">
        <f>VLOOKUP(B63,'Barrel Pricelist'!A:I,9,0)</f>
        <v>61950</v>
      </c>
      <c r="S63" s="1" t="s">
        <v>12</v>
      </c>
      <c r="T63" s="25" t="str">
        <f t="shared" si="0"/>
        <v>&lt;tr&gt; &lt;td&gt;3007403&lt;/td&gt;&lt;td&gt;SERVOSYSTEM 100-210 L HD&lt;/td&gt;&lt;td&gt;210&lt;/td&gt;&lt;td&gt;250&lt;/td&gt;&lt;td&gt;0&lt;/td&gt;&lt;td&gt;0&lt;/td&gt;&lt;td&gt;0&lt;/td&gt;&lt;td&gt;295&lt;/td&gt;&lt;td&gt;61950&lt;/td&gt;&lt;/tr&gt;</v>
      </c>
    </row>
    <row r="64" spans="1:20" x14ac:dyDescent="0.3">
      <c r="A64" s="1" t="s">
        <v>13</v>
      </c>
      <c r="B64" s="1">
        <f>'Barrel Pricelist'!A63</f>
        <v>3020401</v>
      </c>
      <c r="C64" s="1" t="s">
        <v>14</v>
      </c>
      <c r="D64" s="1" t="str">
        <f>VLOOKUP(B64,'Barrel Pricelist'!A:I,2,0)</f>
        <v>SERVOSYSTEM 220 - 210L BRL</v>
      </c>
      <c r="E64" s="1" t="s">
        <v>14</v>
      </c>
      <c r="F64" s="1">
        <f>VLOOKUP(B64,'Barrel Pricelist'!A:I,3,0)</f>
        <v>210</v>
      </c>
      <c r="G64" s="1" t="s">
        <v>14</v>
      </c>
      <c r="H64" s="1">
        <f>VLOOKUP(B64,'Barrel Pricelist'!A:I,4,0)</f>
        <v>238</v>
      </c>
      <c r="I64" s="1" t="s">
        <v>14</v>
      </c>
      <c r="J64" s="1">
        <f>VLOOKUP(B64,'Barrel Pricelist'!A:I,5,0)</f>
        <v>0</v>
      </c>
      <c r="K64" s="1" t="s">
        <v>14</v>
      </c>
      <c r="L64" s="1">
        <f>VLOOKUP(B64,'Barrel Pricelist'!A:I,6,0)</f>
        <v>0</v>
      </c>
      <c r="M64" s="1" t="s">
        <v>14</v>
      </c>
      <c r="N64" s="1">
        <f>VLOOKUP(B64,'Barrel Pricelist'!A:I,7,0)</f>
        <v>0</v>
      </c>
      <c r="O64" s="1" t="s">
        <v>14</v>
      </c>
      <c r="P64" s="1">
        <f>VLOOKUP(B64,'Barrel Pricelist'!A:I,8,0)</f>
        <v>280.83999999999997</v>
      </c>
      <c r="Q64" s="1" t="s">
        <v>14</v>
      </c>
      <c r="R64" s="1">
        <f>VLOOKUP(B64,'Barrel Pricelist'!A:I,9,0)</f>
        <v>58976.399999999994</v>
      </c>
      <c r="S64" s="1" t="s">
        <v>12</v>
      </c>
      <c r="T64" s="25" t="str">
        <f t="shared" si="0"/>
        <v>&lt;tr&gt; &lt;td&gt;3020401&lt;/td&gt;&lt;td&gt;SERVOSYSTEM 220 - 210L BRL&lt;/td&gt;&lt;td&gt;210&lt;/td&gt;&lt;td&gt;238&lt;/td&gt;&lt;td&gt;0&lt;/td&gt;&lt;td&gt;0&lt;/td&gt;&lt;td&gt;0&lt;/td&gt;&lt;td&gt;280.84&lt;/td&gt;&lt;td&gt;58976.4&lt;/td&gt;&lt;/tr&gt;</v>
      </c>
    </row>
    <row r="65" spans="1:20" x14ac:dyDescent="0.3">
      <c r="A65" s="1" t="s">
        <v>13</v>
      </c>
      <c r="B65" s="1">
        <f>'Barrel Pricelist'!A64</f>
        <v>3017401</v>
      </c>
      <c r="C65" s="1" t="s">
        <v>14</v>
      </c>
      <c r="D65" s="1" t="str">
        <f>VLOOKUP(B65,'Barrel Pricelist'!A:I,2,0)</f>
        <v>SERVOSYSTEM 320 - 210L BRL</v>
      </c>
      <c r="E65" s="1" t="s">
        <v>14</v>
      </c>
      <c r="F65" s="1">
        <f>VLOOKUP(B65,'Barrel Pricelist'!A:I,3,0)</f>
        <v>210</v>
      </c>
      <c r="G65" s="1" t="s">
        <v>14</v>
      </c>
      <c r="H65" s="1">
        <f>VLOOKUP(B65,'Barrel Pricelist'!A:I,4,0)</f>
        <v>247</v>
      </c>
      <c r="I65" s="1" t="s">
        <v>14</v>
      </c>
      <c r="J65" s="1">
        <f>VLOOKUP(B65,'Barrel Pricelist'!A:I,5,0)</f>
        <v>0</v>
      </c>
      <c r="K65" s="1" t="s">
        <v>14</v>
      </c>
      <c r="L65" s="1">
        <f>VLOOKUP(B65,'Barrel Pricelist'!A:I,6,0)</f>
        <v>0</v>
      </c>
      <c r="M65" s="1" t="s">
        <v>14</v>
      </c>
      <c r="N65" s="1">
        <f>VLOOKUP(B65,'Barrel Pricelist'!A:I,7,0)</f>
        <v>0</v>
      </c>
      <c r="O65" s="1" t="s">
        <v>14</v>
      </c>
      <c r="P65" s="1">
        <f>VLOOKUP(B65,'Barrel Pricelist'!A:I,8,0)</f>
        <v>291.45999999999998</v>
      </c>
      <c r="Q65" s="1" t="s">
        <v>14</v>
      </c>
      <c r="R65" s="1">
        <f>VLOOKUP(B65,'Barrel Pricelist'!A:I,9,0)</f>
        <v>61206.6</v>
      </c>
      <c r="S65" s="1" t="s">
        <v>12</v>
      </c>
      <c r="T65" s="25" t="str">
        <f t="shared" si="0"/>
        <v>&lt;tr&gt; &lt;td&gt;3017401&lt;/td&gt;&lt;td&gt;SERVOSYSTEM 320 - 210L BRL&lt;/td&gt;&lt;td&gt;210&lt;/td&gt;&lt;td&gt;247&lt;/td&gt;&lt;td&gt;0&lt;/td&gt;&lt;td&gt;0&lt;/td&gt;&lt;td&gt;0&lt;/td&gt;&lt;td&gt;291.46&lt;/td&gt;&lt;td&gt;61206.6&lt;/td&gt;&lt;/tr&gt;</v>
      </c>
    </row>
    <row r="66" spans="1:20" x14ac:dyDescent="0.3">
      <c r="A66" s="1" t="s">
        <v>13</v>
      </c>
      <c r="B66" s="1">
        <f>'Barrel Pricelist'!A65</f>
        <v>3019401</v>
      </c>
      <c r="C66" s="1" t="s">
        <v>14</v>
      </c>
      <c r="D66" s="1" t="str">
        <f>VLOOKUP(B66,'Barrel Pricelist'!A:I,2,0)</f>
        <v>SERVOSYSTEM 150 - 210L BRL</v>
      </c>
      <c r="E66" s="1" t="s">
        <v>14</v>
      </c>
      <c r="F66" s="1">
        <f>VLOOKUP(B66,'Barrel Pricelist'!A:I,3,0)</f>
        <v>210</v>
      </c>
      <c r="G66" s="1" t="s">
        <v>14</v>
      </c>
      <c r="H66" s="1">
        <f>VLOOKUP(B66,'Barrel Pricelist'!A:I,4,0)</f>
        <v>231</v>
      </c>
      <c r="I66" s="1" t="s">
        <v>14</v>
      </c>
      <c r="J66" s="1">
        <f>VLOOKUP(B66,'Barrel Pricelist'!A:I,5,0)</f>
        <v>0</v>
      </c>
      <c r="K66" s="1" t="s">
        <v>14</v>
      </c>
      <c r="L66" s="1">
        <f>VLOOKUP(B66,'Barrel Pricelist'!A:I,6,0)</f>
        <v>0</v>
      </c>
      <c r="M66" s="1" t="s">
        <v>14</v>
      </c>
      <c r="N66" s="1">
        <f>VLOOKUP(B66,'Barrel Pricelist'!A:I,7,0)</f>
        <v>0</v>
      </c>
      <c r="O66" s="1" t="s">
        <v>14</v>
      </c>
      <c r="P66" s="1">
        <f>VLOOKUP(B66,'Barrel Pricelist'!A:I,8,0)</f>
        <v>272.58</v>
      </c>
      <c r="Q66" s="1" t="s">
        <v>14</v>
      </c>
      <c r="R66" s="1">
        <f>VLOOKUP(B66,'Barrel Pricelist'!A:I,9,0)</f>
        <v>57241.799999999996</v>
      </c>
      <c r="S66" s="1" t="s">
        <v>12</v>
      </c>
      <c r="T66" s="25" t="str">
        <f t="shared" si="0"/>
        <v>&lt;tr&gt; &lt;td&gt;3019401&lt;/td&gt;&lt;td&gt;SERVOSYSTEM 150 - 210L BRL&lt;/td&gt;&lt;td&gt;210&lt;/td&gt;&lt;td&gt;231&lt;/td&gt;&lt;td&gt;0&lt;/td&gt;&lt;td&gt;0&lt;/td&gt;&lt;td&gt;0&lt;/td&gt;&lt;td&gt;272.58&lt;/td&gt;&lt;td&gt;57241.8&lt;/td&gt;&lt;/tr&gt;</v>
      </c>
    </row>
    <row r="67" spans="1:20" x14ac:dyDescent="0.3">
      <c r="A67" s="1" t="s">
        <v>13</v>
      </c>
      <c r="B67" s="1">
        <f>'Barrel Pricelist'!A66</f>
        <v>3064401</v>
      </c>
      <c r="C67" s="1" t="s">
        <v>14</v>
      </c>
      <c r="D67" s="1" t="str">
        <f>VLOOKUP(B67,'Barrel Pricelist'!A:I,2,0)</f>
        <v>SERVOHYDREX TH 46-210L BRL</v>
      </c>
      <c r="E67" s="1" t="s">
        <v>14</v>
      </c>
      <c r="F67" s="1">
        <f>VLOOKUP(B67,'Barrel Pricelist'!A:I,3,0)</f>
        <v>210</v>
      </c>
      <c r="G67" s="1" t="s">
        <v>14</v>
      </c>
      <c r="H67" s="1">
        <f>VLOOKUP(B67,'Barrel Pricelist'!A:I,4,0)</f>
        <v>227</v>
      </c>
      <c r="I67" s="1" t="s">
        <v>14</v>
      </c>
      <c r="J67" s="1">
        <f>VLOOKUP(B67,'Barrel Pricelist'!A:I,5,0)</f>
        <v>0</v>
      </c>
      <c r="K67" s="1" t="s">
        <v>14</v>
      </c>
      <c r="L67" s="1">
        <f>VLOOKUP(B67,'Barrel Pricelist'!A:I,6,0)</f>
        <v>0</v>
      </c>
      <c r="M67" s="1" t="s">
        <v>14</v>
      </c>
      <c r="N67" s="1">
        <f>VLOOKUP(B67,'Barrel Pricelist'!A:I,7,0)</f>
        <v>0</v>
      </c>
      <c r="O67" s="1" t="s">
        <v>14</v>
      </c>
      <c r="P67" s="1">
        <f>VLOOKUP(B67,'Barrel Pricelist'!A:I,8,0)</f>
        <v>267.86</v>
      </c>
      <c r="Q67" s="1" t="s">
        <v>14</v>
      </c>
      <c r="R67" s="1">
        <f>VLOOKUP(B67,'Barrel Pricelist'!A:I,9,0)</f>
        <v>56250.600000000006</v>
      </c>
      <c r="S67" s="1" t="s">
        <v>12</v>
      </c>
      <c r="T67" s="25" t="str">
        <f t="shared" si="0"/>
        <v>&lt;tr&gt; &lt;td&gt;3064401&lt;/td&gt;&lt;td&gt;SERVOHYDREX TH 46-210L BRL&lt;/td&gt;&lt;td&gt;210&lt;/td&gt;&lt;td&gt;227&lt;/td&gt;&lt;td&gt;0&lt;/td&gt;&lt;td&gt;0&lt;/td&gt;&lt;td&gt;0&lt;/td&gt;&lt;td&gt;267.86&lt;/td&gt;&lt;td&gt;56250.6&lt;/td&gt;&lt;/tr&gt;</v>
      </c>
    </row>
    <row r="68" spans="1:20" x14ac:dyDescent="0.3">
      <c r="A68" s="1" t="s">
        <v>13</v>
      </c>
      <c r="B68" s="1">
        <f>'Barrel Pricelist'!A67</f>
        <v>3081401</v>
      </c>
      <c r="C68" s="1" t="s">
        <v>14</v>
      </c>
      <c r="D68" s="1" t="str">
        <f>VLOOKUP(B68,'Barrel Pricelist'!A:I,2,0)</f>
        <v>SERVOSYSTEM HLP 32 - 210L BRL</v>
      </c>
      <c r="E68" s="1" t="s">
        <v>14</v>
      </c>
      <c r="F68" s="1">
        <f>VLOOKUP(B68,'Barrel Pricelist'!A:I,3,0)</f>
        <v>210</v>
      </c>
      <c r="G68" s="1" t="s">
        <v>14</v>
      </c>
      <c r="H68" s="1">
        <f>VLOOKUP(B68,'Barrel Pricelist'!A:I,4,0)</f>
        <v>236</v>
      </c>
      <c r="I68" s="1" t="s">
        <v>14</v>
      </c>
      <c r="J68" s="1">
        <f>VLOOKUP(B68,'Barrel Pricelist'!A:I,5,0)</f>
        <v>0</v>
      </c>
      <c r="K68" s="1" t="s">
        <v>14</v>
      </c>
      <c r="L68" s="1">
        <f>VLOOKUP(B68,'Barrel Pricelist'!A:I,6,0)</f>
        <v>0</v>
      </c>
      <c r="M68" s="1" t="s">
        <v>14</v>
      </c>
      <c r="N68" s="1">
        <f>VLOOKUP(B68,'Barrel Pricelist'!A:I,7,0)</f>
        <v>0</v>
      </c>
      <c r="O68" s="1" t="s">
        <v>14</v>
      </c>
      <c r="P68" s="1">
        <f>VLOOKUP(B68,'Barrel Pricelist'!A:I,8,0)</f>
        <v>278.47999999999996</v>
      </c>
      <c r="Q68" s="1" t="s">
        <v>14</v>
      </c>
      <c r="R68" s="1">
        <f>VLOOKUP(B68,'Barrel Pricelist'!A:I,9,0)</f>
        <v>58480.799999999988</v>
      </c>
      <c r="S68" s="1" t="s">
        <v>12</v>
      </c>
      <c r="T68" s="25" t="str">
        <f t="shared" ref="T68:T79" si="1">CONCATENATE(A68,B68,C68,D68,E68,F68,G68,H68,I68,J68,K68,L68,M68,N68,O68,P68,Q68,R68,S68)</f>
        <v>&lt;tr&gt; &lt;td&gt;3081401&lt;/td&gt;&lt;td&gt;SERVOSYSTEM HLP 32 - 210L BRL&lt;/td&gt;&lt;td&gt;210&lt;/td&gt;&lt;td&gt;236&lt;/td&gt;&lt;td&gt;0&lt;/td&gt;&lt;td&gt;0&lt;/td&gt;&lt;td&gt;0&lt;/td&gt;&lt;td&gt;278.48&lt;/td&gt;&lt;td&gt;58480.8&lt;/td&gt;&lt;/tr&gt;</v>
      </c>
    </row>
    <row r="69" spans="1:20" x14ac:dyDescent="0.3">
      <c r="A69" s="1" t="s">
        <v>13</v>
      </c>
      <c r="B69" s="1">
        <f>'Barrel Pricelist'!A68</f>
        <v>3082401</v>
      </c>
      <c r="C69" s="1" t="s">
        <v>14</v>
      </c>
      <c r="D69" s="1" t="str">
        <f>VLOOKUP(B69,'Barrel Pricelist'!A:I,2,0)</f>
        <v>SERVOSYSTEM HLP 46 - 210L BRL</v>
      </c>
      <c r="E69" s="1" t="s">
        <v>14</v>
      </c>
      <c r="F69" s="1">
        <f>VLOOKUP(B69,'Barrel Pricelist'!A:I,3,0)</f>
        <v>210</v>
      </c>
      <c r="G69" s="1" t="s">
        <v>14</v>
      </c>
      <c r="H69" s="1">
        <f>VLOOKUP(B69,'Barrel Pricelist'!A:I,4,0)</f>
        <v>241</v>
      </c>
      <c r="I69" s="1" t="s">
        <v>14</v>
      </c>
      <c r="J69" s="1">
        <f>VLOOKUP(B69,'Barrel Pricelist'!A:I,5,0)</f>
        <v>0</v>
      </c>
      <c r="K69" s="1" t="s">
        <v>14</v>
      </c>
      <c r="L69" s="1">
        <f>VLOOKUP(B69,'Barrel Pricelist'!A:I,6,0)</f>
        <v>0</v>
      </c>
      <c r="M69" s="1" t="s">
        <v>14</v>
      </c>
      <c r="N69" s="1">
        <f>VLOOKUP(B69,'Barrel Pricelist'!A:I,7,0)</f>
        <v>0</v>
      </c>
      <c r="O69" s="1" t="s">
        <v>14</v>
      </c>
      <c r="P69" s="1">
        <f>VLOOKUP(B69,'Barrel Pricelist'!A:I,8,0)</f>
        <v>284.38</v>
      </c>
      <c r="Q69" s="1" t="s">
        <v>14</v>
      </c>
      <c r="R69" s="1">
        <f>VLOOKUP(B69,'Barrel Pricelist'!A:I,9,0)</f>
        <v>59719.799999999996</v>
      </c>
      <c r="S69" s="1" t="s">
        <v>12</v>
      </c>
      <c r="T69" s="25" t="str">
        <f t="shared" si="1"/>
        <v>&lt;tr&gt; &lt;td&gt;3082401&lt;/td&gt;&lt;td&gt;SERVOSYSTEM HLP 46 - 210L BRL&lt;/td&gt;&lt;td&gt;210&lt;/td&gt;&lt;td&gt;241&lt;/td&gt;&lt;td&gt;0&lt;/td&gt;&lt;td&gt;0&lt;/td&gt;&lt;td&gt;0&lt;/td&gt;&lt;td&gt;284.38&lt;/td&gt;&lt;td&gt;59719.8&lt;/td&gt;&lt;/tr&gt;</v>
      </c>
    </row>
    <row r="70" spans="1:20" x14ac:dyDescent="0.3">
      <c r="A70" s="1" t="s">
        <v>13</v>
      </c>
      <c r="B70" s="1">
        <f>'Barrel Pricelist'!A69</f>
        <v>3084401</v>
      </c>
      <c r="C70" s="1" t="s">
        <v>14</v>
      </c>
      <c r="D70" s="1" t="str">
        <f>VLOOKUP(B70,'Barrel Pricelist'!A:I,2,0)</f>
        <v>SERVOSYSTEM HLP 68 - 210L BRL</v>
      </c>
      <c r="E70" s="1" t="s">
        <v>14</v>
      </c>
      <c r="F70" s="1">
        <f>VLOOKUP(B70,'Barrel Pricelist'!A:I,3,0)</f>
        <v>210</v>
      </c>
      <c r="G70" s="1" t="s">
        <v>14</v>
      </c>
      <c r="H70" s="1">
        <f>VLOOKUP(B70,'Barrel Pricelist'!A:I,4,0)</f>
        <v>251</v>
      </c>
      <c r="I70" s="1" t="s">
        <v>14</v>
      </c>
      <c r="J70" s="1">
        <f>VLOOKUP(B70,'Barrel Pricelist'!A:I,5,0)</f>
        <v>0</v>
      </c>
      <c r="K70" s="1" t="s">
        <v>14</v>
      </c>
      <c r="L70" s="1">
        <f>VLOOKUP(B70,'Barrel Pricelist'!A:I,6,0)</f>
        <v>0</v>
      </c>
      <c r="M70" s="1" t="s">
        <v>14</v>
      </c>
      <c r="N70" s="1">
        <f>VLOOKUP(B70,'Barrel Pricelist'!A:I,7,0)</f>
        <v>0</v>
      </c>
      <c r="O70" s="1" t="s">
        <v>14</v>
      </c>
      <c r="P70" s="1">
        <f>VLOOKUP(B70,'Barrel Pricelist'!A:I,8,0)</f>
        <v>296.18</v>
      </c>
      <c r="Q70" s="1" t="s">
        <v>14</v>
      </c>
      <c r="R70" s="1">
        <f>VLOOKUP(B70,'Barrel Pricelist'!A:I,9,0)</f>
        <v>62197.8</v>
      </c>
      <c r="S70" s="1" t="s">
        <v>12</v>
      </c>
      <c r="T70" s="25" t="str">
        <f t="shared" si="1"/>
        <v>&lt;tr&gt; &lt;td&gt;3084401&lt;/td&gt;&lt;td&gt;SERVOSYSTEM HLP 68 - 210L BRL&lt;/td&gt;&lt;td&gt;210&lt;/td&gt;&lt;td&gt;251&lt;/td&gt;&lt;td&gt;0&lt;/td&gt;&lt;td&gt;0&lt;/td&gt;&lt;td&gt;0&lt;/td&gt;&lt;td&gt;296.18&lt;/td&gt;&lt;td&gt;62197.8&lt;/td&gt;&lt;/tr&gt;</v>
      </c>
    </row>
    <row r="71" spans="1:20" x14ac:dyDescent="0.3">
      <c r="A71" s="1" t="s">
        <v>13</v>
      </c>
      <c r="B71" s="1">
        <f>'Barrel Pricelist'!A70</f>
        <v>3121401</v>
      </c>
      <c r="C71" s="1" t="s">
        <v>14</v>
      </c>
      <c r="D71" s="1" t="str">
        <f>VLOOKUP(B71,'Barrel Pricelist'!A:I,2,0)</f>
        <v>SERVOPRIME 46 - 210L BRL</v>
      </c>
      <c r="E71" s="1" t="s">
        <v>14</v>
      </c>
      <c r="F71" s="1">
        <f>VLOOKUP(B71,'Barrel Pricelist'!A:I,3,0)</f>
        <v>210</v>
      </c>
      <c r="G71" s="1" t="s">
        <v>14</v>
      </c>
      <c r="H71" s="1">
        <f>VLOOKUP(B71,'Barrel Pricelist'!A:I,4,0)</f>
        <v>240</v>
      </c>
      <c r="I71" s="1" t="s">
        <v>14</v>
      </c>
      <c r="J71" s="1">
        <f>VLOOKUP(B71,'Barrel Pricelist'!A:I,5,0)</f>
        <v>0</v>
      </c>
      <c r="K71" s="1" t="s">
        <v>14</v>
      </c>
      <c r="L71" s="1">
        <f>VLOOKUP(B71,'Barrel Pricelist'!A:I,6,0)</f>
        <v>0</v>
      </c>
      <c r="M71" s="1" t="s">
        <v>14</v>
      </c>
      <c r="N71" s="1">
        <f>VLOOKUP(B71,'Barrel Pricelist'!A:I,7,0)</f>
        <v>0</v>
      </c>
      <c r="O71" s="1" t="s">
        <v>14</v>
      </c>
      <c r="P71" s="1">
        <f>VLOOKUP(B71,'Barrel Pricelist'!A:I,8,0)</f>
        <v>283.2</v>
      </c>
      <c r="Q71" s="1" t="s">
        <v>14</v>
      </c>
      <c r="R71" s="1">
        <f>VLOOKUP(B71,'Barrel Pricelist'!A:I,9,0)</f>
        <v>59472</v>
      </c>
      <c r="S71" s="1" t="s">
        <v>12</v>
      </c>
      <c r="T71" s="25" t="str">
        <f t="shared" si="1"/>
        <v>&lt;tr&gt; &lt;td&gt;3121401&lt;/td&gt;&lt;td&gt;SERVOPRIME 46 - 210L BRL&lt;/td&gt;&lt;td&gt;210&lt;/td&gt;&lt;td&gt;240&lt;/td&gt;&lt;td&gt;0&lt;/td&gt;&lt;td&gt;0&lt;/td&gt;&lt;td&gt;0&lt;/td&gt;&lt;td&gt;283.2&lt;/td&gt;&lt;td&gt;59472&lt;/td&gt;&lt;/tr&gt;</v>
      </c>
    </row>
    <row r="72" spans="1:20" x14ac:dyDescent="0.3">
      <c r="A72" s="1" t="s">
        <v>13</v>
      </c>
      <c r="B72" s="1">
        <f>'Barrel Pricelist'!A71</f>
        <v>3122401</v>
      </c>
      <c r="C72" s="1" t="s">
        <v>14</v>
      </c>
      <c r="D72" s="1" t="str">
        <f>VLOOKUP(B72,'Barrel Pricelist'!A:I,2,0)</f>
        <v>SERVOPRIME 57 - 210L BRL</v>
      </c>
      <c r="E72" s="1" t="s">
        <v>14</v>
      </c>
      <c r="F72" s="1">
        <f>VLOOKUP(B72,'Barrel Pricelist'!A:I,3,0)</f>
        <v>210</v>
      </c>
      <c r="G72" s="1" t="s">
        <v>14</v>
      </c>
      <c r="H72" s="1">
        <f>VLOOKUP(B72,'Barrel Pricelist'!A:I,4,0)</f>
        <v>245</v>
      </c>
      <c r="I72" s="1" t="s">
        <v>14</v>
      </c>
      <c r="J72" s="1">
        <f>VLOOKUP(B72,'Barrel Pricelist'!A:I,5,0)</f>
        <v>0</v>
      </c>
      <c r="K72" s="1" t="s">
        <v>14</v>
      </c>
      <c r="L72" s="1">
        <f>VLOOKUP(B72,'Barrel Pricelist'!A:I,6,0)</f>
        <v>0</v>
      </c>
      <c r="M72" s="1" t="s">
        <v>14</v>
      </c>
      <c r="N72" s="1">
        <f>VLOOKUP(B72,'Barrel Pricelist'!A:I,7,0)</f>
        <v>0</v>
      </c>
      <c r="O72" s="1" t="s">
        <v>14</v>
      </c>
      <c r="P72" s="1">
        <f>VLOOKUP(B72,'Barrel Pricelist'!A:I,8,0)</f>
        <v>289.09999999999997</v>
      </c>
      <c r="Q72" s="1" t="s">
        <v>14</v>
      </c>
      <c r="R72" s="1">
        <f>VLOOKUP(B72,'Barrel Pricelist'!A:I,9,0)</f>
        <v>60710.999999999993</v>
      </c>
      <c r="S72" s="1" t="s">
        <v>12</v>
      </c>
      <c r="T72" s="25" t="str">
        <f t="shared" si="1"/>
        <v>&lt;tr&gt; &lt;td&gt;3122401&lt;/td&gt;&lt;td&gt;SERVOPRIME 57 - 210L BRL&lt;/td&gt;&lt;td&gt;210&lt;/td&gt;&lt;td&gt;245&lt;/td&gt;&lt;td&gt;0&lt;/td&gt;&lt;td&gt;0&lt;/td&gt;&lt;td&gt;0&lt;/td&gt;&lt;td&gt;289.1&lt;/td&gt;&lt;td&gt;60711&lt;/td&gt;&lt;/tr&gt;</v>
      </c>
    </row>
    <row r="73" spans="1:20" x14ac:dyDescent="0.3">
      <c r="A73" s="1" t="s">
        <v>13</v>
      </c>
      <c r="B73" s="1">
        <f>'Barrel Pricelist'!A72</f>
        <v>3614401</v>
      </c>
      <c r="C73" s="1" t="s">
        <v>14</v>
      </c>
      <c r="D73" s="1" t="str">
        <f>VLOOKUP(B73,'Barrel Pricelist'!A:I,2,0)</f>
        <v>SERVOMESH SP 320 - 210L BRL</v>
      </c>
      <c r="E73" s="1" t="s">
        <v>14</v>
      </c>
      <c r="F73" s="1">
        <f>VLOOKUP(B73,'Barrel Pricelist'!A:I,3,0)</f>
        <v>210</v>
      </c>
      <c r="G73" s="1" t="s">
        <v>14</v>
      </c>
      <c r="H73" s="1">
        <f>VLOOKUP(B73,'Barrel Pricelist'!A:I,4,0)</f>
        <v>257</v>
      </c>
      <c r="I73" s="1" t="s">
        <v>14</v>
      </c>
      <c r="J73" s="1">
        <f>VLOOKUP(B73,'Barrel Pricelist'!A:I,5,0)</f>
        <v>0</v>
      </c>
      <c r="K73" s="1" t="s">
        <v>14</v>
      </c>
      <c r="L73" s="1">
        <f>VLOOKUP(B73,'Barrel Pricelist'!A:I,6,0)</f>
        <v>0</v>
      </c>
      <c r="M73" s="1" t="s">
        <v>14</v>
      </c>
      <c r="N73" s="1">
        <f>VLOOKUP(B73,'Barrel Pricelist'!A:I,7,0)</f>
        <v>0</v>
      </c>
      <c r="O73" s="1" t="s">
        <v>14</v>
      </c>
      <c r="P73" s="1">
        <f>VLOOKUP(B73,'Barrel Pricelist'!A:I,8,0)</f>
        <v>303.26</v>
      </c>
      <c r="Q73" s="1" t="s">
        <v>14</v>
      </c>
      <c r="R73" s="1">
        <f>VLOOKUP(B73,'Barrel Pricelist'!A:I,9,0)</f>
        <v>63684.6</v>
      </c>
      <c r="S73" s="1" t="s">
        <v>12</v>
      </c>
      <c r="T73" s="25" t="str">
        <f t="shared" si="1"/>
        <v>&lt;tr&gt; &lt;td&gt;3614401&lt;/td&gt;&lt;td&gt;SERVOMESH SP 320 - 210L BRL&lt;/td&gt;&lt;td&gt;210&lt;/td&gt;&lt;td&gt;257&lt;/td&gt;&lt;td&gt;0&lt;/td&gt;&lt;td&gt;0&lt;/td&gt;&lt;td&gt;0&lt;/td&gt;&lt;td&gt;303.26&lt;/td&gt;&lt;td&gt;63684.6&lt;/td&gt;&lt;/tr&gt;</v>
      </c>
    </row>
    <row r="74" spans="1:20" x14ac:dyDescent="0.3">
      <c r="A74" s="1" t="s">
        <v>13</v>
      </c>
      <c r="B74" s="1">
        <f>'Barrel Pricelist'!A73</f>
        <v>3617401</v>
      </c>
      <c r="C74" s="1" t="s">
        <v>14</v>
      </c>
      <c r="D74" s="1" t="str">
        <f>VLOOKUP(B74,'Barrel Pricelist'!A:I,2,0)</f>
        <v>SERVOMESH SP 220 - 210L BRL</v>
      </c>
      <c r="E74" s="1" t="s">
        <v>14</v>
      </c>
      <c r="F74" s="1">
        <f>VLOOKUP(B74,'Barrel Pricelist'!A:I,3,0)</f>
        <v>210</v>
      </c>
      <c r="G74" s="1" t="s">
        <v>14</v>
      </c>
      <c r="H74" s="1">
        <f>VLOOKUP(B74,'Barrel Pricelist'!A:I,4,0)</f>
        <v>249</v>
      </c>
      <c r="I74" s="1" t="s">
        <v>14</v>
      </c>
      <c r="J74" s="1">
        <f>VLOOKUP(B74,'Barrel Pricelist'!A:I,5,0)</f>
        <v>0</v>
      </c>
      <c r="K74" s="1" t="s">
        <v>14</v>
      </c>
      <c r="L74" s="1">
        <f>VLOOKUP(B74,'Barrel Pricelist'!A:I,6,0)</f>
        <v>0</v>
      </c>
      <c r="M74" s="1" t="s">
        <v>14</v>
      </c>
      <c r="N74" s="1">
        <f>VLOOKUP(B74,'Barrel Pricelist'!A:I,7,0)</f>
        <v>0</v>
      </c>
      <c r="O74" s="1" t="s">
        <v>14</v>
      </c>
      <c r="P74" s="1">
        <f>VLOOKUP(B74,'Barrel Pricelist'!A:I,8,0)</f>
        <v>293.82</v>
      </c>
      <c r="Q74" s="1" t="s">
        <v>14</v>
      </c>
      <c r="R74" s="1">
        <f>VLOOKUP(B74,'Barrel Pricelist'!A:I,9,0)</f>
        <v>61702.2</v>
      </c>
      <c r="S74" s="1" t="s">
        <v>12</v>
      </c>
      <c r="T74" s="25" t="str">
        <f t="shared" si="1"/>
        <v>&lt;tr&gt; &lt;td&gt;3617401&lt;/td&gt;&lt;td&gt;SERVOMESH SP 220 - 210L BRL&lt;/td&gt;&lt;td&gt;210&lt;/td&gt;&lt;td&gt;249&lt;/td&gt;&lt;td&gt;0&lt;/td&gt;&lt;td&gt;0&lt;/td&gt;&lt;td&gt;0&lt;/td&gt;&lt;td&gt;293.82&lt;/td&gt;&lt;td&gt;61702.2&lt;/td&gt;&lt;/tr&gt;</v>
      </c>
    </row>
    <row r="75" spans="1:20" x14ac:dyDescent="0.3">
      <c r="A75" s="1" t="s">
        <v>13</v>
      </c>
      <c r="B75" s="1">
        <f>'Barrel Pricelist'!A74</f>
        <v>3923401</v>
      </c>
      <c r="C75" s="1" t="s">
        <v>14</v>
      </c>
      <c r="D75" s="1" t="str">
        <f>VLOOKUP(B75,'Barrel Pricelist'!A:I,2,0)</f>
        <v>SERVOFRIZ NH 68 - 210 L BRL</v>
      </c>
      <c r="E75" s="1" t="s">
        <v>14</v>
      </c>
      <c r="F75" s="1">
        <f>VLOOKUP(B75,'Barrel Pricelist'!A:I,3,0)</f>
        <v>210</v>
      </c>
      <c r="G75" s="1" t="s">
        <v>14</v>
      </c>
      <c r="H75" s="1">
        <f>VLOOKUP(B75,'Barrel Pricelist'!A:I,4,0)</f>
        <v>211</v>
      </c>
      <c r="I75" s="1" t="s">
        <v>14</v>
      </c>
      <c r="J75" s="1">
        <f>VLOOKUP(B75,'Barrel Pricelist'!A:I,5,0)</f>
        <v>0</v>
      </c>
      <c r="K75" s="1" t="s">
        <v>14</v>
      </c>
      <c r="L75" s="1">
        <f>VLOOKUP(B75,'Barrel Pricelist'!A:I,6,0)</f>
        <v>0</v>
      </c>
      <c r="M75" s="1" t="s">
        <v>14</v>
      </c>
      <c r="N75" s="1">
        <f>VLOOKUP(B75,'Barrel Pricelist'!A:I,7,0)</f>
        <v>0</v>
      </c>
      <c r="O75" s="1" t="s">
        <v>14</v>
      </c>
      <c r="P75" s="1">
        <f>VLOOKUP(B75,'Barrel Pricelist'!A:I,8,0)</f>
        <v>248.98</v>
      </c>
      <c r="Q75" s="1" t="s">
        <v>14</v>
      </c>
      <c r="R75" s="1">
        <f>VLOOKUP(B75,'Barrel Pricelist'!A:I,9,0)</f>
        <v>52285.799999999996</v>
      </c>
      <c r="S75" s="1" t="s">
        <v>12</v>
      </c>
      <c r="T75" s="25" t="str">
        <f t="shared" si="1"/>
        <v>&lt;tr&gt; &lt;td&gt;3923401&lt;/td&gt;&lt;td&gt;SERVOFRIZ NH 68 - 210 L BRL&lt;/td&gt;&lt;td&gt;210&lt;/td&gt;&lt;td&gt;211&lt;/td&gt;&lt;td&gt;0&lt;/td&gt;&lt;td&gt;0&lt;/td&gt;&lt;td&gt;0&lt;/td&gt;&lt;td&gt;248.98&lt;/td&gt;&lt;td&gt;52285.8&lt;/td&gt;&lt;/tr&gt;</v>
      </c>
    </row>
    <row r="76" spans="1:20" x14ac:dyDescent="0.3">
      <c r="A76" s="1" t="s">
        <v>13</v>
      </c>
      <c r="B76" s="1">
        <f>'Barrel Pricelist'!A75</f>
        <v>4803401</v>
      </c>
      <c r="C76" s="1" t="s">
        <v>14</v>
      </c>
      <c r="D76" s="1" t="str">
        <f>VLOOKUP(B76,'Barrel Pricelist'!A:I,2,0)</f>
        <v>SERVOTHERM SPECIAL-210L BRL</v>
      </c>
      <c r="E76" s="1" t="s">
        <v>14</v>
      </c>
      <c r="F76" s="1">
        <f>VLOOKUP(B76,'Barrel Pricelist'!A:I,3,0)</f>
        <v>210</v>
      </c>
      <c r="G76" s="1" t="s">
        <v>14</v>
      </c>
      <c r="H76" s="1">
        <f>VLOOKUP(B76,'Barrel Pricelist'!A:I,4,0)</f>
        <v>217</v>
      </c>
      <c r="I76" s="1" t="s">
        <v>14</v>
      </c>
      <c r="J76" s="1">
        <f>VLOOKUP(B76,'Barrel Pricelist'!A:I,5,0)</f>
        <v>0</v>
      </c>
      <c r="K76" s="1" t="s">
        <v>14</v>
      </c>
      <c r="L76" s="1">
        <f>VLOOKUP(B76,'Barrel Pricelist'!A:I,6,0)</f>
        <v>0</v>
      </c>
      <c r="M76" s="1" t="s">
        <v>14</v>
      </c>
      <c r="N76" s="1">
        <f>VLOOKUP(B76,'Barrel Pricelist'!A:I,7,0)</f>
        <v>0</v>
      </c>
      <c r="O76" s="1" t="s">
        <v>14</v>
      </c>
      <c r="P76" s="1">
        <f>VLOOKUP(B76,'Barrel Pricelist'!A:I,8,0)</f>
        <v>256.06</v>
      </c>
      <c r="Q76" s="1" t="s">
        <v>14</v>
      </c>
      <c r="R76" s="1">
        <f>VLOOKUP(B76,'Barrel Pricelist'!A:I,9,0)</f>
        <v>53772.6</v>
      </c>
      <c r="S76" s="1" t="s">
        <v>12</v>
      </c>
      <c r="T76" s="25" t="str">
        <f t="shared" si="1"/>
        <v>&lt;tr&gt; &lt;td&gt;4803401&lt;/td&gt;&lt;td&gt;SERVOTHERM SPECIAL-210L BRL&lt;/td&gt;&lt;td&gt;210&lt;/td&gt;&lt;td&gt;217&lt;/td&gt;&lt;td&gt;0&lt;/td&gt;&lt;td&gt;0&lt;/td&gt;&lt;td&gt;0&lt;/td&gt;&lt;td&gt;256.06&lt;/td&gt;&lt;td&gt;53772.6&lt;/td&gt;&lt;/tr&gt;</v>
      </c>
    </row>
    <row r="77" spans="1:20" x14ac:dyDescent="0.3">
      <c r="A77" s="1" t="s">
        <v>13</v>
      </c>
      <c r="B77" s="1">
        <f>'Barrel Pricelist'!A76</f>
        <v>4811401</v>
      </c>
      <c r="C77" s="1" t="s">
        <v>14</v>
      </c>
      <c r="D77" s="1" t="str">
        <f>VLOOKUP(B77,'Barrel Pricelist'!A:I,2,0)</f>
        <v>SERVOTHERM S SPECIAL-210 L BRL</v>
      </c>
      <c r="E77" s="1" t="s">
        <v>14</v>
      </c>
      <c r="F77" s="1">
        <f>VLOOKUP(B77,'Barrel Pricelist'!A:I,3,0)</f>
        <v>210</v>
      </c>
      <c r="G77" s="1" t="s">
        <v>14</v>
      </c>
      <c r="H77" s="1">
        <f>VLOOKUP(B77,'Barrel Pricelist'!A:I,4,0)</f>
        <v>230</v>
      </c>
      <c r="I77" s="1" t="s">
        <v>14</v>
      </c>
      <c r="J77" s="1">
        <f>VLOOKUP(B77,'Barrel Pricelist'!A:I,5,0)</f>
        <v>0</v>
      </c>
      <c r="K77" s="1" t="s">
        <v>14</v>
      </c>
      <c r="L77" s="1">
        <f>VLOOKUP(B77,'Barrel Pricelist'!A:I,6,0)</f>
        <v>0</v>
      </c>
      <c r="M77" s="1" t="s">
        <v>14</v>
      </c>
      <c r="N77" s="1">
        <f>VLOOKUP(B77,'Barrel Pricelist'!A:I,7,0)</f>
        <v>0</v>
      </c>
      <c r="O77" s="1" t="s">
        <v>14</v>
      </c>
      <c r="P77" s="1">
        <f>VLOOKUP(B77,'Barrel Pricelist'!A:I,8,0)</f>
        <v>271.39999999999998</v>
      </c>
      <c r="Q77" s="1" t="s">
        <v>14</v>
      </c>
      <c r="R77" s="1">
        <f>VLOOKUP(B77,'Barrel Pricelist'!A:I,9,0)</f>
        <v>56993.999999999993</v>
      </c>
      <c r="S77" s="1" t="s">
        <v>12</v>
      </c>
      <c r="T77" s="25" t="str">
        <f t="shared" si="1"/>
        <v>&lt;tr&gt; &lt;td&gt;4811401&lt;/td&gt;&lt;td&gt;SERVOTHERM S SPECIAL-210 L BRL&lt;/td&gt;&lt;td&gt;210&lt;/td&gt;&lt;td&gt;230&lt;/td&gt;&lt;td&gt;0&lt;/td&gt;&lt;td&gt;0&lt;/td&gt;&lt;td&gt;0&lt;/td&gt;&lt;td&gt;271.4&lt;/td&gt;&lt;td&gt;56994&lt;/td&gt;&lt;/tr&gt;</v>
      </c>
    </row>
    <row r="78" spans="1:20" x14ac:dyDescent="0.3">
      <c r="A78" s="1" t="s">
        <v>13</v>
      </c>
      <c r="B78" s="1">
        <f>'Barrel Pricelist'!A77</f>
        <v>4501401</v>
      </c>
      <c r="C78" s="1" t="s">
        <v>14</v>
      </c>
      <c r="D78" s="1" t="str">
        <f>VLOOKUP(B78,'Barrel Pricelist'!A:I,2,0)</f>
        <v>SERVOCUT S - 210L BRL</v>
      </c>
      <c r="E78" s="1" t="s">
        <v>14</v>
      </c>
      <c r="F78" s="1">
        <f>VLOOKUP(B78,'Barrel Pricelist'!A:I,3,0)</f>
        <v>210</v>
      </c>
      <c r="G78" s="1" t="s">
        <v>14</v>
      </c>
      <c r="H78" s="1">
        <f>VLOOKUP(B78,'Barrel Pricelist'!A:I,4,0)</f>
        <v>230</v>
      </c>
      <c r="I78" s="1" t="s">
        <v>14</v>
      </c>
      <c r="J78" s="1">
        <f>VLOOKUP(B78,'Barrel Pricelist'!A:I,5,0)</f>
        <v>0</v>
      </c>
      <c r="K78" s="1" t="s">
        <v>14</v>
      </c>
      <c r="L78" s="1">
        <f>VLOOKUP(B78,'Barrel Pricelist'!A:I,6,0)</f>
        <v>0</v>
      </c>
      <c r="M78" s="1" t="s">
        <v>14</v>
      </c>
      <c r="N78" s="1">
        <f>VLOOKUP(B78,'Barrel Pricelist'!A:I,7,0)</f>
        <v>0</v>
      </c>
      <c r="O78" s="1" t="s">
        <v>14</v>
      </c>
      <c r="P78" s="1">
        <f>VLOOKUP(B78,'Barrel Pricelist'!A:I,8,0)</f>
        <v>271.39999999999998</v>
      </c>
      <c r="Q78" s="1" t="s">
        <v>14</v>
      </c>
      <c r="R78" s="1">
        <f>VLOOKUP(B78,'Barrel Pricelist'!A:I,9,0)</f>
        <v>56993.999999999993</v>
      </c>
      <c r="S78" s="1" t="s">
        <v>12</v>
      </c>
      <c r="T78" s="25" t="str">
        <f t="shared" si="1"/>
        <v>&lt;tr&gt; &lt;td&gt;4501401&lt;/td&gt;&lt;td&gt;SERVOCUT S - 210L BRL&lt;/td&gt;&lt;td&gt;210&lt;/td&gt;&lt;td&gt;230&lt;/td&gt;&lt;td&gt;0&lt;/td&gt;&lt;td&gt;0&lt;/td&gt;&lt;td&gt;0&lt;/td&gt;&lt;td&gt;271.4&lt;/td&gt;&lt;td&gt;56994&lt;/td&gt;&lt;/tr&gt;</v>
      </c>
    </row>
    <row r="79" spans="1:20" x14ac:dyDescent="0.3">
      <c r="A79" s="1" t="s">
        <v>13</v>
      </c>
      <c r="B79" s="1">
        <f>'Barrel Pricelist'!A78</f>
        <v>7403401</v>
      </c>
      <c r="C79" s="1" t="s">
        <v>14</v>
      </c>
      <c r="D79" s="1" t="str">
        <f>VLOOKUP(B79,'Barrel Pricelist'!A:I,2,0)</f>
        <v>SERVOELECTRA - 210L BRL</v>
      </c>
      <c r="E79" s="1" t="s">
        <v>14</v>
      </c>
      <c r="F79" s="1">
        <f>VLOOKUP(B79,'Barrel Pricelist'!A:I,3,0)</f>
        <v>210</v>
      </c>
      <c r="G79" s="1" t="s">
        <v>14</v>
      </c>
      <c r="H79" s="1">
        <f>VLOOKUP(B79,'Barrel Pricelist'!A:I,4,0)</f>
        <v>160</v>
      </c>
      <c r="I79" s="1" t="s">
        <v>14</v>
      </c>
      <c r="J79" s="1">
        <f>VLOOKUP(B79,'Barrel Pricelist'!A:I,5,0)</f>
        <v>0</v>
      </c>
      <c r="K79" s="1" t="s">
        <v>14</v>
      </c>
      <c r="L79" s="1">
        <f>VLOOKUP(B79,'Barrel Pricelist'!A:I,6,0)</f>
        <v>0</v>
      </c>
      <c r="M79" s="1" t="s">
        <v>14</v>
      </c>
      <c r="N79" s="1">
        <f>VLOOKUP(B79,'Barrel Pricelist'!A:I,7,0)</f>
        <v>0</v>
      </c>
      <c r="O79" s="1" t="s">
        <v>14</v>
      </c>
      <c r="P79" s="1">
        <f>VLOOKUP(B79,'Barrel Pricelist'!A:I,8,0)</f>
        <v>188.79999999999998</v>
      </c>
      <c r="Q79" s="1" t="s">
        <v>14</v>
      </c>
      <c r="R79" s="1">
        <f>VLOOKUP(B79,'Barrel Pricelist'!A:I,9,0)</f>
        <v>39648</v>
      </c>
      <c r="S79" s="1" t="s">
        <v>12</v>
      </c>
      <c r="T79" s="25" t="str">
        <f t="shared" si="1"/>
        <v>&lt;tr&gt; &lt;td&gt;7403401&lt;/td&gt;&lt;td&gt;SERVOELECTRA - 210L BRL&lt;/td&gt;&lt;td&gt;210&lt;/td&gt;&lt;td&gt;160&lt;/td&gt;&lt;td&gt;0&lt;/td&gt;&lt;td&gt;0&lt;/td&gt;&lt;td&gt;0&lt;/td&gt;&lt;td&gt;188.8&lt;/td&gt;&lt;td&gt;39648&lt;/td&gt;&lt;/tr&gt;</v>
      </c>
    </row>
    <row r="80" spans="1:20" x14ac:dyDescent="0.3">
      <c r="A80" s="1" t="s">
        <v>13</v>
      </c>
      <c r="B80" s="1">
        <f>'Barrel Pricelist'!A79</f>
        <v>7330403</v>
      </c>
      <c r="C80" s="1" t="s">
        <v>14</v>
      </c>
      <c r="D80" s="1" t="str">
        <f>VLOOKUP(B80,'Barrel Pricelist'!A:I,2,0)</f>
        <v>IOC CLEARBLUE-210 L HD</v>
      </c>
      <c r="E80" s="1" t="s">
        <v>14</v>
      </c>
      <c r="F80" s="1">
        <f>VLOOKUP(B80,'Barrel Pricelist'!A:I,3,0)</f>
        <v>210</v>
      </c>
      <c r="G80" s="1" t="s">
        <v>14</v>
      </c>
      <c r="H80" s="1">
        <f>VLOOKUP(B80,'Barrel Pricelist'!A:I,4,0)</f>
        <v>69</v>
      </c>
      <c r="I80" s="1" t="s">
        <v>14</v>
      </c>
      <c r="J80" s="1">
        <f>VLOOKUP(B80,'Barrel Pricelist'!A:I,5,0)</f>
        <v>0</v>
      </c>
      <c r="K80" s="1" t="s">
        <v>14</v>
      </c>
      <c r="L80" s="1">
        <f>VLOOKUP(B80,'Barrel Pricelist'!A:I,6,0)</f>
        <v>0</v>
      </c>
      <c r="M80" s="1" t="s">
        <v>14</v>
      </c>
      <c r="N80" s="1">
        <f>VLOOKUP(B80,'Barrel Pricelist'!A:I,7,0)</f>
        <v>0</v>
      </c>
      <c r="O80" s="1" t="s">
        <v>14</v>
      </c>
      <c r="P80" s="1">
        <f>VLOOKUP(B80,'Barrel Pricelist'!A:I,8,0)</f>
        <v>81.42</v>
      </c>
      <c r="Q80" s="1" t="s">
        <v>14</v>
      </c>
      <c r="R80" s="1">
        <f>VLOOKUP(B80,'Barrel Pricelist'!A:I,9,0)</f>
        <v>17098.2</v>
      </c>
      <c r="S80" s="1" t="s">
        <v>12</v>
      </c>
      <c r="T80" s="25" t="str">
        <f t="shared" ref="T80" si="2">CONCATENATE(A80,B80,C80,D80,E80,F80,G80,H80,I80,J80,K80,L80,M80,N80,O80,P80,Q80,R80,S80)</f>
        <v>&lt;tr&gt; &lt;td&gt;7330403&lt;/td&gt;&lt;td&gt;IOC CLEARBLUE-210 L HD&lt;/td&gt;&lt;td&gt;210&lt;/td&gt;&lt;td&gt;69&lt;/td&gt;&lt;td&gt;0&lt;/td&gt;&lt;td&gt;0&lt;/td&gt;&lt;td&gt;0&lt;/td&gt;&lt;td&gt;81.42&lt;/td&gt;&lt;td&gt;17098.2&lt;/td&gt;&lt;/tr&gt;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4986-C102-49BC-9157-0AAC96E7B3CB}">
  <dimension ref="A2:H87"/>
  <sheetViews>
    <sheetView workbookViewId="0">
      <selection activeCell="H2" sqref="H2"/>
    </sheetView>
  </sheetViews>
  <sheetFormatPr defaultRowHeight="14.4" x14ac:dyDescent="0.3"/>
  <cols>
    <col min="2" max="2" width="42.44140625" bestFit="1" customWidth="1"/>
    <col min="5" max="5" width="6.88671875" bestFit="1" customWidth="1"/>
    <col min="6" max="6" width="4" bestFit="1" customWidth="1"/>
    <col min="7" max="7" width="2.109375" bestFit="1" customWidth="1"/>
    <col min="8" max="8" width="73.6640625" bestFit="1" customWidth="1"/>
  </cols>
  <sheetData>
    <row r="2" spans="1:8" x14ac:dyDescent="0.3">
      <c r="A2" t="s">
        <v>367</v>
      </c>
      <c r="B2" t="s">
        <v>137</v>
      </c>
      <c r="C2" t="s">
        <v>369</v>
      </c>
      <c r="D2">
        <v>1404184</v>
      </c>
      <c r="E2" t="s">
        <v>370</v>
      </c>
      <c r="F2">
        <v>20.000000000000014</v>
      </c>
      <c r="G2" t="s">
        <v>368</v>
      </c>
      <c r="H2" t="str">
        <f>_xlfn.CONCAT(A2,B2,C2,D2,E2,F2,G2)</f>
        <v>{ name: "SERVO PRIDE 40 - 20x1L - HDPE", code:"1404184", uom:20},</v>
      </c>
    </row>
    <row r="3" spans="1:8" x14ac:dyDescent="0.3">
      <c r="A3" t="s">
        <v>367</v>
      </c>
      <c r="B3" t="s">
        <v>138</v>
      </c>
      <c r="C3" t="s">
        <v>369</v>
      </c>
      <c r="D3">
        <v>1404234</v>
      </c>
      <c r="E3" t="s">
        <v>370</v>
      </c>
      <c r="F3">
        <v>20.000000000000014</v>
      </c>
      <c r="G3" t="s">
        <v>368</v>
      </c>
      <c r="H3" t="str">
        <f t="shared" ref="H3:H66" si="0">_xlfn.CONCAT(A3,B3,C3,D3,E3,F3,G3)</f>
        <v>{ name: "SERVO PRIDE 40 - 4x5L - HDPE", code:"1404234", uom:20},</v>
      </c>
    </row>
    <row r="4" spans="1:8" x14ac:dyDescent="0.3">
      <c r="A4" t="s">
        <v>367</v>
      </c>
      <c r="B4" t="s">
        <v>206</v>
      </c>
      <c r="C4" t="s">
        <v>369</v>
      </c>
      <c r="D4">
        <v>2502174</v>
      </c>
      <c r="E4" t="s">
        <v>370</v>
      </c>
      <c r="F4">
        <v>20.000000000000011</v>
      </c>
      <c r="G4" t="s">
        <v>368</v>
      </c>
      <c r="H4" t="str">
        <f t="shared" si="0"/>
        <v>{ name: "SERVO GEAR HP 90-40X1/2L-HDPE", code:"2502174", uom:20},</v>
      </c>
    </row>
    <row r="5" spans="1:8" x14ac:dyDescent="0.3">
      <c r="A5" t="s">
        <v>367</v>
      </c>
      <c r="B5" t="s">
        <v>207</v>
      </c>
      <c r="C5" t="s">
        <v>369</v>
      </c>
      <c r="D5">
        <v>2502184</v>
      </c>
      <c r="E5" t="s">
        <v>370</v>
      </c>
      <c r="F5">
        <v>20.000000000000014</v>
      </c>
      <c r="G5" t="s">
        <v>368</v>
      </c>
      <c r="H5" t="str">
        <f t="shared" si="0"/>
        <v>{ name: "SERVO GEAR HP 90-20X1L-HDPE", code:"2502184", uom:20},</v>
      </c>
    </row>
    <row r="6" spans="1:8" x14ac:dyDescent="0.3">
      <c r="A6" t="s">
        <v>367</v>
      </c>
      <c r="B6" t="s">
        <v>208</v>
      </c>
      <c r="C6" t="s">
        <v>369</v>
      </c>
      <c r="D6">
        <v>2502234</v>
      </c>
      <c r="E6" t="s">
        <v>370</v>
      </c>
      <c r="F6">
        <v>20.000000000000014</v>
      </c>
      <c r="G6" t="s">
        <v>368</v>
      </c>
      <c r="H6" t="str">
        <f t="shared" si="0"/>
        <v>{ name: "SERVO GEAR HP 90 - 4x5L - HDPE", code:"2502234", uom:20},</v>
      </c>
    </row>
    <row r="7" spans="1:8" x14ac:dyDescent="0.3">
      <c r="A7" t="s">
        <v>367</v>
      </c>
      <c r="B7" t="s">
        <v>49</v>
      </c>
      <c r="C7" t="s">
        <v>369</v>
      </c>
      <c r="D7">
        <v>2502401</v>
      </c>
      <c r="E7" t="s">
        <v>370</v>
      </c>
      <c r="F7">
        <v>210</v>
      </c>
      <c r="G7" t="s">
        <v>368</v>
      </c>
      <c r="H7" t="str">
        <f t="shared" si="0"/>
        <v>{ name: "SERVO GEAR HP 90 - 210L BRL", code:"2502401", uom:210},</v>
      </c>
    </row>
    <row r="8" spans="1:8" x14ac:dyDescent="0.3">
      <c r="A8" t="s">
        <v>367</v>
      </c>
      <c r="B8" t="s">
        <v>100</v>
      </c>
      <c r="C8" t="s">
        <v>369</v>
      </c>
      <c r="D8">
        <v>2540199</v>
      </c>
      <c r="E8" t="s">
        <v>370</v>
      </c>
      <c r="F8">
        <v>8.4</v>
      </c>
      <c r="G8" t="s">
        <v>368</v>
      </c>
      <c r="H8" t="str">
        <f t="shared" si="0"/>
        <v>{ name: "MGGO 80W-90 - 4 X 2.1 L", code:"2540199", uom:8.4},</v>
      </c>
    </row>
    <row r="9" spans="1:8" x14ac:dyDescent="0.3">
      <c r="A9" t="s">
        <v>367</v>
      </c>
      <c r="B9" t="s">
        <v>110</v>
      </c>
      <c r="C9" t="s">
        <v>369</v>
      </c>
      <c r="D9">
        <v>2557195</v>
      </c>
      <c r="E9" t="s">
        <v>370</v>
      </c>
      <c r="F9">
        <v>10</v>
      </c>
      <c r="G9" t="s">
        <v>368</v>
      </c>
      <c r="H9" t="str">
        <f t="shared" si="0"/>
        <v>{ name: "HYUNDAI S.GEAR OIL 75W-85-4X2.5L-HDPE", code:"2557195", uom:10},</v>
      </c>
    </row>
    <row r="10" spans="1:8" x14ac:dyDescent="0.3">
      <c r="A10" t="s">
        <v>367</v>
      </c>
      <c r="B10" t="s">
        <v>251</v>
      </c>
      <c r="C10" t="s">
        <v>369</v>
      </c>
      <c r="D10">
        <v>2829230</v>
      </c>
      <c r="E10" t="s">
        <v>370</v>
      </c>
      <c r="F10">
        <v>18</v>
      </c>
      <c r="G10" t="s">
        <v>368</v>
      </c>
      <c r="H10" t="str">
        <f t="shared" si="0"/>
        <v>{ name: "SERVO 4T XTRA 10W-30-20 X 0.9 L PROMO", code:"2829230", uom:18},</v>
      </c>
    </row>
    <row r="11" spans="1:8" x14ac:dyDescent="0.3">
      <c r="A11" t="s">
        <v>367</v>
      </c>
      <c r="B11" t="s">
        <v>255</v>
      </c>
      <c r="C11" t="s">
        <v>369</v>
      </c>
      <c r="D11">
        <v>2889156</v>
      </c>
      <c r="E11" t="s">
        <v>370</v>
      </c>
      <c r="F11">
        <v>16</v>
      </c>
      <c r="G11" t="s">
        <v>368</v>
      </c>
      <c r="H11" t="str">
        <f t="shared" si="0"/>
        <v>{ name: "SERVO SCOOTOMATIC 4ST 10W-30-20 X 0.8 L", code:"2889156", uom:16},</v>
      </c>
    </row>
    <row r="12" spans="1:8" x14ac:dyDescent="0.3">
      <c r="A12" t="s">
        <v>367</v>
      </c>
      <c r="B12" t="s">
        <v>281</v>
      </c>
      <c r="C12" t="s">
        <v>369</v>
      </c>
      <c r="D12">
        <v>2900103</v>
      </c>
      <c r="E12" t="s">
        <v>370</v>
      </c>
      <c r="F12">
        <v>12.000000000000002</v>
      </c>
      <c r="G12" t="s">
        <v>368</v>
      </c>
      <c r="H12" t="str">
        <f t="shared" si="0"/>
        <v>{ name: "SERVO 2T SUPREME-600 X 20 ML", code:"2900103", uom:12},</v>
      </c>
    </row>
    <row r="13" spans="1:8" x14ac:dyDescent="0.3">
      <c r="A13" t="s">
        <v>367</v>
      </c>
      <c r="B13" t="s">
        <v>282</v>
      </c>
      <c r="C13" t="s">
        <v>369</v>
      </c>
      <c r="D13">
        <v>2900125</v>
      </c>
      <c r="E13" t="s">
        <v>370</v>
      </c>
      <c r="F13">
        <v>12</v>
      </c>
      <c r="G13" t="s">
        <v>368</v>
      </c>
      <c r="H13" t="str">
        <f t="shared" si="0"/>
        <v>{ name: "SERVO 2T SUPREME(JFC)-300x40ML - POU", code:"2900125", uom:12},</v>
      </c>
    </row>
    <row r="14" spans="1:8" x14ac:dyDescent="0.3">
      <c r="A14" t="s">
        <v>367</v>
      </c>
      <c r="B14" t="s">
        <v>283</v>
      </c>
      <c r="C14" t="s">
        <v>369</v>
      </c>
      <c r="D14">
        <v>2900145</v>
      </c>
      <c r="E14" t="s">
        <v>370</v>
      </c>
      <c r="F14">
        <v>12</v>
      </c>
      <c r="G14" t="s">
        <v>368</v>
      </c>
      <c r="H14" t="str">
        <f t="shared" si="0"/>
        <v>{ name: "SERVO 2T SUPREME (JFC) - 200X60ML - POU", code:"2900145", uom:12},</v>
      </c>
    </row>
    <row r="15" spans="1:8" x14ac:dyDescent="0.3">
      <c r="A15" t="s">
        <v>367</v>
      </c>
      <c r="B15" t="s">
        <v>285</v>
      </c>
      <c r="C15" t="s">
        <v>369</v>
      </c>
      <c r="D15">
        <v>2900175</v>
      </c>
      <c r="E15" t="s">
        <v>370</v>
      </c>
      <c r="F15">
        <v>10.000000000000005</v>
      </c>
      <c r="G15" t="s">
        <v>368</v>
      </c>
      <c r="H15" t="str">
        <f t="shared" si="0"/>
        <v>{ name: "SERVO 2T SUPREME-20X1/2 L", code:"2900175", uom:10},</v>
      </c>
    </row>
    <row r="16" spans="1:8" x14ac:dyDescent="0.3">
      <c r="A16" t="s">
        <v>367</v>
      </c>
      <c r="B16" t="s">
        <v>286</v>
      </c>
      <c r="C16" t="s">
        <v>369</v>
      </c>
      <c r="D16">
        <v>2900184</v>
      </c>
      <c r="E16" t="s">
        <v>370</v>
      </c>
      <c r="F16">
        <v>20.000000000000014</v>
      </c>
      <c r="G16" t="s">
        <v>368</v>
      </c>
      <c r="H16" t="str">
        <f t="shared" si="0"/>
        <v>{ name: "SERVO 2T SUPREME-20 X 1 L", code:"2900184", uom:20},</v>
      </c>
    </row>
    <row r="17" spans="1:8" x14ac:dyDescent="0.3">
      <c r="A17" t="s">
        <v>367</v>
      </c>
      <c r="B17" t="s">
        <v>316</v>
      </c>
      <c r="C17" t="s">
        <v>369</v>
      </c>
      <c r="D17">
        <v>2909165</v>
      </c>
      <c r="E17" t="s">
        <v>370</v>
      </c>
      <c r="F17">
        <v>5</v>
      </c>
      <c r="G17" t="s">
        <v>368</v>
      </c>
      <c r="H17" t="str">
        <f t="shared" si="0"/>
        <v>{ name: "SERVO BRAKE FLUID SUPER HD - 20X1/4L-HDP", code:"2909165", uom:5},</v>
      </c>
    </row>
    <row r="18" spans="1:8" x14ac:dyDescent="0.3">
      <c r="A18" t="s">
        <v>367</v>
      </c>
      <c r="B18" t="s">
        <v>317</v>
      </c>
      <c r="C18" t="s">
        <v>369</v>
      </c>
      <c r="D18">
        <v>2909175</v>
      </c>
      <c r="E18" t="s">
        <v>370</v>
      </c>
      <c r="F18">
        <v>10.000000000000005</v>
      </c>
      <c r="G18" t="s">
        <v>368</v>
      </c>
      <c r="H18" t="str">
        <f t="shared" si="0"/>
        <v>{ name: "SERVO BRAKE FLUID SUPER HD -20X1/2L-HDPE", code:"2909175", uom:10},</v>
      </c>
    </row>
    <row r="19" spans="1:8" x14ac:dyDescent="0.3">
      <c r="A19" t="s">
        <v>367</v>
      </c>
      <c r="B19" t="s">
        <v>325</v>
      </c>
      <c r="C19" t="s">
        <v>369</v>
      </c>
      <c r="D19">
        <v>2914165</v>
      </c>
      <c r="E19" t="s">
        <v>370</v>
      </c>
      <c r="F19">
        <v>5</v>
      </c>
      <c r="G19" t="s">
        <v>368</v>
      </c>
      <c r="H19" t="str">
        <f t="shared" si="0"/>
        <v>{ name: "SERVO BRAKE FLUID DOT 4-20 X 1/4 L", code:"2914165", uom:5},</v>
      </c>
    </row>
    <row r="20" spans="1:8" x14ac:dyDescent="0.3">
      <c r="A20" t="s">
        <v>367</v>
      </c>
      <c r="B20" t="s">
        <v>326</v>
      </c>
      <c r="C20" t="s">
        <v>369</v>
      </c>
      <c r="D20">
        <v>2914175</v>
      </c>
      <c r="E20" t="s">
        <v>370</v>
      </c>
      <c r="F20">
        <v>10.000000000000005</v>
      </c>
      <c r="G20" t="s">
        <v>368</v>
      </c>
      <c r="H20" t="str">
        <f t="shared" si="0"/>
        <v>{ name: "SERVO BRAKE FLUID DOT 4-20 X 1/2 L", code:"2914175", uom:10},</v>
      </c>
    </row>
    <row r="21" spans="1:8" x14ac:dyDescent="0.3">
      <c r="A21" t="s">
        <v>367</v>
      </c>
      <c r="B21" t="s">
        <v>258</v>
      </c>
      <c r="C21" t="s">
        <v>369</v>
      </c>
      <c r="D21">
        <v>2924229</v>
      </c>
      <c r="E21" t="s">
        <v>370</v>
      </c>
      <c r="F21">
        <v>20</v>
      </c>
      <c r="G21" t="s">
        <v>368</v>
      </c>
      <c r="H21" t="str">
        <f t="shared" si="0"/>
        <v>{ name: "SERVO 4T - 20 X 1 L HDPE PROMO", code:"2924229", uom:20},</v>
      </c>
    </row>
    <row r="22" spans="1:8" x14ac:dyDescent="0.3">
      <c r="A22" t="s">
        <v>367</v>
      </c>
      <c r="B22" t="s">
        <v>134</v>
      </c>
      <c r="C22" t="s">
        <v>369</v>
      </c>
      <c r="D22">
        <v>2927152</v>
      </c>
      <c r="E22" t="s">
        <v>370</v>
      </c>
      <c r="F22">
        <v>18</v>
      </c>
      <c r="G22" t="s">
        <v>368</v>
      </c>
      <c r="H22" t="str">
        <f t="shared" si="0"/>
        <v>{ name: "SERVO HONDA JOSH-20 X 0.9 L", code:"2927152", uom:18},</v>
      </c>
    </row>
    <row r="23" spans="1:8" x14ac:dyDescent="0.3">
      <c r="A23" t="s">
        <v>367</v>
      </c>
      <c r="B23" t="s">
        <v>136</v>
      </c>
      <c r="C23" t="s">
        <v>369</v>
      </c>
      <c r="D23">
        <v>2933156</v>
      </c>
      <c r="E23" t="s">
        <v>370</v>
      </c>
      <c r="F23">
        <v>16</v>
      </c>
      <c r="G23" t="s">
        <v>368</v>
      </c>
      <c r="H23" t="str">
        <f t="shared" si="0"/>
        <v>{ name: "SERVO HONDA SCOOTONXT-20 X 0.8 L", code:"2933156", uom:16},</v>
      </c>
    </row>
    <row r="24" spans="1:8" x14ac:dyDescent="0.3">
      <c r="A24" t="s">
        <v>367</v>
      </c>
      <c r="B24" t="s">
        <v>273</v>
      </c>
      <c r="C24" t="s">
        <v>369</v>
      </c>
      <c r="D24">
        <v>2967111</v>
      </c>
      <c r="E24" t="s">
        <v>370</v>
      </c>
      <c r="F24">
        <v>14</v>
      </c>
      <c r="G24" t="s">
        <v>368</v>
      </c>
      <c r="H24" t="str">
        <f t="shared" si="0"/>
        <v>{ name: "SERVO FUTURA G PLUS 5W-30-4X3.5 L PROMO", code:"2967111", uom:14},</v>
      </c>
    </row>
    <row r="25" spans="1:8" x14ac:dyDescent="0.3">
      <c r="A25" t="s">
        <v>367</v>
      </c>
      <c r="B25" t="s">
        <v>271</v>
      </c>
      <c r="C25" t="s">
        <v>369</v>
      </c>
      <c r="D25">
        <v>2967204</v>
      </c>
      <c r="E25" t="s">
        <v>370</v>
      </c>
      <c r="F25">
        <v>12</v>
      </c>
      <c r="G25" t="s">
        <v>368</v>
      </c>
      <c r="H25" t="str">
        <f t="shared" si="0"/>
        <v>{ name: "SERVO FUTURA G PLUS 5W-30-4 X 3 L PROMO", code:"2967204", uom:12},</v>
      </c>
    </row>
    <row r="26" spans="1:8" x14ac:dyDescent="0.3">
      <c r="A26" t="s">
        <v>367</v>
      </c>
      <c r="B26" t="s">
        <v>114</v>
      </c>
      <c r="C26" t="s">
        <v>369</v>
      </c>
      <c r="D26">
        <v>2968213</v>
      </c>
      <c r="E26" t="s">
        <v>370</v>
      </c>
      <c r="F26">
        <v>14.000000000000004</v>
      </c>
      <c r="G26" t="s">
        <v>368</v>
      </c>
      <c r="H26" t="str">
        <f t="shared" si="0"/>
        <v>{ name: "HY.SERVO ENGINE OIL 5W-30-4x3.5L", code:"2968213", uom:14},</v>
      </c>
    </row>
    <row r="27" spans="1:8" x14ac:dyDescent="0.3">
      <c r="A27" t="s">
        <v>367</v>
      </c>
      <c r="B27" t="s">
        <v>328</v>
      </c>
      <c r="C27" t="s">
        <v>369</v>
      </c>
      <c r="D27">
        <v>3001265</v>
      </c>
      <c r="E27" t="s">
        <v>370</v>
      </c>
      <c r="F27">
        <v>20.000000000000014</v>
      </c>
      <c r="G27" t="s">
        <v>368</v>
      </c>
      <c r="H27" t="str">
        <f t="shared" si="0"/>
        <v>{ name: "SERVOSYSTEM 32-20L BUC", code:"3001265", uom:20},</v>
      </c>
    </row>
    <row r="28" spans="1:8" x14ac:dyDescent="0.3">
      <c r="A28" t="s">
        <v>367</v>
      </c>
      <c r="B28" t="s">
        <v>330</v>
      </c>
      <c r="C28" t="s">
        <v>369</v>
      </c>
      <c r="D28">
        <v>3006234</v>
      </c>
      <c r="E28" t="s">
        <v>370</v>
      </c>
      <c r="F28">
        <v>20.000000000000014</v>
      </c>
      <c r="G28" t="s">
        <v>368</v>
      </c>
      <c r="H28" t="str">
        <f t="shared" si="0"/>
        <v>{ name: "SERVOSYSTEM 68-4x5L - HDPE", code:"3006234", uom:20},</v>
      </c>
    </row>
    <row r="29" spans="1:8" x14ac:dyDescent="0.3">
      <c r="A29" t="s">
        <v>367</v>
      </c>
      <c r="B29" t="s">
        <v>331</v>
      </c>
      <c r="C29" t="s">
        <v>369</v>
      </c>
      <c r="D29">
        <v>3006265</v>
      </c>
      <c r="E29" t="s">
        <v>370</v>
      </c>
      <c r="F29">
        <v>20.000000000000014</v>
      </c>
      <c r="G29" t="s">
        <v>368</v>
      </c>
      <c r="H29" t="str">
        <f t="shared" si="0"/>
        <v>{ name: "SERVOSYSTEM 68-20L BUC", code:"3006265", uom:20},</v>
      </c>
    </row>
    <row r="30" spans="1:8" x14ac:dyDescent="0.3">
      <c r="A30" t="s">
        <v>367</v>
      </c>
      <c r="B30" t="s">
        <v>73</v>
      </c>
      <c r="C30" t="s">
        <v>369</v>
      </c>
      <c r="D30">
        <v>3006401</v>
      </c>
      <c r="E30" t="s">
        <v>370</v>
      </c>
      <c r="F30">
        <v>210</v>
      </c>
      <c r="G30" t="s">
        <v>368</v>
      </c>
      <c r="H30" t="str">
        <f t="shared" si="0"/>
        <v>{ name: "SERVOSYSTEM 68 - 210L BRL", code:"3006401", uom:210},</v>
      </c>
    </row>
    <row r="31" spans="1:8" x14ac:dyDescent="0.3">
      <c r="A31" t="s">
        <v>367</v>
      </c>
      <c r="B31" t="s">
        <v>377</v>
      </c>
      <c r="C31" t="s">
        <v>369</v>
      </c>
      <c r="D31">
        <v>3006403</v>
      </c>
      <c r="E31" t="s">
        <v>370</v>
      </c>
      <c r="F31">
        <v>210</v>
      </c>
      <c r="G31" t="s">
        <v>368</v>
      </c>
      <c r="H31" t="str">
        <f t="shared" si="0"/>
        <v>{ name: "SERVOSYSTEM 68-210 L HD", code:"3006403", uom:210},</v>
      </c>
    </row>
    <row r="32" spans="1:8" x14ac:dyDescent="0.3">
      <c r="A32" t="s">
        <v>367</v>
      </c>
      <c r="B32" t="s">
        <v>335</v>
      </c>
      <c r="C32" t="s">
        <v>369</v>
      </c>
      <c r="D32">
        <v>3040265</v>
      </c>
      <c r="E32" t="s">
        <v>370</v>
      </c>
      <c r="F32">
        <v>20.000000000000014</v>
      </c>
      <c r="G32" t="s">
        <v>368</v>
      </c>
      <c r="H32" t="str">
        <f t="shared" si="0"/>
        <v>{ name: "SERVOHYDRASHAKTI 68-20 L", code:"3040265", uom:20},</v>
      </c>
    </row>
    <row r="33" spans="1:8" x14ac:dyDescent="0.3">
      <c r="A33" t="s">
        <v>367</v>
      </c>
      <c r="B33" t="s">
        <v>81</v>
      </c>
      <c r="C33" t="s">
        <v>369</v>
      </c>
      <c r="D33">
        <v>3084401</v>
      </c>
      <c r="E33" t="s">
        <v>370</v>
      </c>
      <c r="F33">
        <v>210</v>
      </c>
      <c r="G33" t="s">
        <v>368</v>
      </c>
      <c r="H33" t="str">
        <f t="shared" si="0"/>
        <v>{ name: "SERVOSYSTEM HLP 68 - 210L BRL", code:"3084401", uom:210},</v>
      </c>
    </row>
    <row r="34" spans="1:8" x14ac:dyDescent="0.3">
      <c r="A34" t="s">
        <v>367</v>
      </c>
      <c r="B34" t="s">
        <v>213</v>
      </c>
      <c r="C34" t="s">
        <v>369</v>
      </c>
      <c r="D34">
        <v>4906175</v>
      </c>
      <c r="E34" t="s">
        <v>370</v>
      </c>
      <c r="F34">
        <v>10.000000000000005</v>
      </c>
      <c r="G34" t="s">
        <v>368</v>
      </c>
      <c r="H34" t="str">
        <f t="shared" si="0"/>
        <v>{ name: "SERVO TRANSFLUID A-20X1/2 L", code:"4906175", uom:10},</v>
      </c>
    </row>
    <row r="35" spans="1:8" x14ac:dyDescent="0.3">
      <c r="A35" t="s">
        <v>367</v>
      </c>
      <c r="B35" t="s">
        <v>214</v>
      </c>
      <c r="C35" t="s">
        <v>369</v>
      </c>
      <c r="D35">
        <v>4906184</v>
      </c>
      <c r="E35" t="s">
        <v>370</v>
      </c>
      <c r="F35">
        <v>20.000000000000014</v>
      </c>
      <c r="G35" t="s">
        <v>368</v>
      </c>
      <c r="H35" t="str">
        <f t="shared" si="0"/>
        <v>{ name: "SERVO TRANSFLUID A-20X1L-HDPE", code:"4906184", uom:20},</v>
      </c>
    </row>
    <row r="36" spans="1:8" x14ac:dyDescent="0.3">
      <c r="A36" t="s">
        <v>367</v>
      </c>
      <c r="B36" t="s">
        <v>372</v>
      </c>
      <c r="C36" t="s">
        <v>369</v>
      </c>
      <c r="D36">
        <v>7079401</v>
      </c>
      <c r="E36" t="s">
        <v>370</v>
      </c>
      <c r="F36">
        <v>210</v>
      </c>
      <c r="G36" t="s">
        <v>368</v>
      </c>
      <c r="H36" t="str">
        <f t="shared" si="0"/>
        <v>{ name: "ECSTAR PETROL 0W-16 FE-210 L", code:"7079401", uom:210},</v>
      </c>
    </row>
    <row r="37" spans="1:8" x14ac:dyDescent="0.3">
      <c r="A37" t="s">
        <v>367</v>
      </c>
      <c r="B37" t="s">
        <v>116</v>
      </c>
      <c r="C37" t="s">
        <v>369</v>
      </c>
      <c r="D37">
        <v>7205222</v>
      </c>
      <c r="E37" t="s">
        <v>370</v>
      </c>
      <c r="F37">
        <v>16.000000000000011</v>
      </c>
      <c r="G37" t="s">
        <v>368</v>
      </c>
      <c r="H37" t="str">
        <f t="shared" si="0"/>
        <v>{ name: "HYUNDAI SERVO SUPERIOR 0W30-4 X 4 L", code:"7205222", uom:16},</v>
      </c>
    </row>
    <row r="38" spans="1:8" x14ac:dyDescent="0.3">
      <c r="A38" t="s">
        <v>367</v>
      </c>
      <c r="B38" t="s">
        <v>29</v>
      </c>
      <c r="C38" t="s">
        <v>369</v>
      </c>
      <c r="D38">
        <v>7208271</v>
      </c>
      <c r="E38" t="s">
        <v>370</v>
      </c>
      <c r="F38">
        <v>50</v>
      </c>
      <c r="G38" t="s">
        <v>368</v>
      </c>
      <c r="H38" t="str">
        <f t="shared" si="0"/>
        <v>{ name: "SERVO SUPERIOR EO 0W20 SN PLUS-50 L", code:"7208271", uom:50},</v>
      </c>
    </row>
    <row r="39" spans="1:8" x14ac:dyDescent="0.3">
      <c r="A39" t="s">
        <v>367</v>
      </c>
      <c r="B39" t="s">
        <v>112</v>
      </c>
      <c r="C39" t="s">
        <v>369</v>
      </c>
      <c r="D39">
        <v>7209213</v>
      </c>
      <c r="E39" t="s">
        <v>370</v>
      </c>
      <c r="F39">
        <v>14.000000000000004</v>
      </c>
      <c r="G39" t="s">
        <v>368</v>
      </c>
      <c r="H39" t="str">
        <f t="shared" si="0"/>
        <v>{ name: "HY SERVO SYNTH 0W-30 SP/C3-4 X 3.5 L", code:"7209213", uom:14},</v>
      </c>
    </row>
    <row r="40" spans="1:8" x14ac:dyDescent="0.3">
      <c r="A40" t="s">
        <v>367</v>
      </c>
      <c r="B40" t="s">
        <v>375</v>
      </c>
      <c r="C40" t="s">
        <v>369</v>
      </c>
      <c r="D40">
        <v>7211213</v>
      </c>
      <c r="E40" t="s">
        <v>370</v>
      </c>
      <c r="F40">
        <v>14.000000000000004</v>
      </c>
      <c r="G40" t="s">
        <v>368</v>
      </c>
      <c r="H40" t="str">
        <f t="shared" si="0"/>
        <v>{ name: "SERVO GREENMILE-4 X 3.5 L LUBE", code:"7211213", uom:14},</v>
      </c>
    </row>
    <row r="41" spans="1:8" x14ac:dyDescent="0.3">
      <c r="A41" t="s">
        <v>367</v>
      </c>
      <c r="B41" t="s">
        <v>121</v>
      </c>
      <c r="C41" t="s">
        <v>369</v>
      </c>
      <c r="D41">
        <v>7232184</v>
      </c>
      <c r="E41" t="s">
        <v>370</v>
      </c>
      <c r="F41">
        <v>20.000000000000014</v>
      </c>
      <c r="G41" t="s">
        <v>368</v>
      </c>
      <c r="H41" t="str">
        <f t="shared" si="0"/>
        <v>{ name: "HYUNDAI SERVO COOLANT 50-20 X 1 L", code:"7232184", uom:20},</v>
      </c>
    </row>
    <row r="42" spans="1:8" x14ac:dyDescent="0.3">
      <c r="A42" t="s">
        <v>367</v>
      </c>
      <c r="B42" t="s">
        <v>371</v>
      </c>
      <c r="C42" t="s">
        <v>369</v>
      </c>
      <c r="D42">
        <v>7271111</v>
      </c>
      <c r="E42" t="s">
        <v>370</v>
      </c>
      <c r="F42">
        <v>14</v>
      </c>
      <c r="G42" t="s">
        <v>368</v>
      </c>
      <c r="H42" t="str">
        <f t="shared" si="0"/>
        <v>{ name: "SERVO FUTURA NXT 0W-16-4X3.5 L PROMO LUBE", code:"7271111", uom:14},</v>
      </c>
    </row>
    <row r="43" spans="1:8" x14ac:dyDescent="0.3">
      <c r="A43" t="s">
        <v>367</v>
      </c>
      <c r="B43" t="s">
        <v>349</v>
      </c>
      <c r="C43" t="s">
        <v>369</v>
      </c>
      <c r="D43">
        <v>7330242</v>
      </c>
      <c r="E43" t="s">
        <v>370</v>
      </c>
      <c r="F43">
        <v>10.000000000000005</v>
      </c>
      <c r="G43" t="s">
        <v>368</v>
      </c>
      <c r="H43" t="str">
        <f t="shared" si="0"/>
        <v>{ name: "IOC CLEARBLUE-10 L", code:"7330242", uom:10},</v>
      </c>
    </row>
    <row r="44" spans="1:8" x14ac:dyDescent="0.3">
      <c r="A44" t="s">
        <v>367</v>
      </c>
      <c r="B44" t="s">
        <v>350</v>
      </c>
      <c r="C44" t="s">
        <v>369</v>
      </c>
      <c r="D44">
        <v>7330265</v>
      </c>
      <c r="E44" t="s">
        <v>370</v>
      </c>
      <c r="F44">
        <v>20.000000000000014</v>
      </c>
      <c r="G44" t="s">
        <v>368</v>
      </c>
      <c r="H44" t="str">
        <f t="shared" si="0"/>
        <v>{ name: "IOC CLEARBLUE-20 L", code:"7330265", uom:20},</v>
      </c>
    </row>
    <row r="45" spans="1:8" x14ac:dyDescent="0.3">
      <c r="A45" t="s">
        <v>367</v>
      </c>
      <c r="B45" t="s">
        <v>117</v>
      </c>
      <c r="C45" t="s">
        <v>369</v>
      </c>
      <c r="D45">
        <v>7420213</v>
      </c>
      <c r="E45" t="s">
        <v>370</v>
      </c>
      <c r="F45">
        <v>14.000000000000004</v>
      </c>
      <c r="G45" t="s">
        <v>368</v>
      </c>
      <c r="H45" t="str">
        <f t="shared" si="0"/>
        <v>{ name: "HY SERVO PETROL EO SN PLUS-4 X 3.5 L", code:"7420213", uom:14},</v>
      </c>
    </row>
    <row r="46" spans="1:8" x14ac:dyDescent="0.3">
      <c r="A46" t="s">
        <v>367</v>
      </c>
      <c r="B46" t="s">
        <v>103</v>
      </c>
      <c r="C46" t="s">
        <v>369</v>
      </c>
      <c r="D46">
        <v>7427213</v>
      </c>
      <c r="E46" t="s">
        <v>370</v>
      </c>
      <c r="F46">
        <v>14.000000000000004</v>
      </c>
      <c r="G46" t="s">
        <v>368</v>
      </c>
      <c r="H46" t="str">
        <f t="shared" si="0"/>
        <v>{ name: "ECSTAR PETROL 0W-20-4 X 3.5 L", code:"7427213", uom:14},</v>
      </c>
    </row>
    <row r="47" spans="1:8" x14ac:dyDescent="0.3">
      <c r="A47" t="s">
        <v>367</v>
      </c>
      <c r="B47" t="s">
        <v>16</v>
      </c>
      <c r="C47" t="s">
        <v>369</v>
      </c>
      <c r="D47">
        <v>7427401</v>
      </c>
      <c r="E47" t="s">
        <v>370</v>
      </c>
      <c r="F47">
        <v>210</v>
      </c>
      <c r="G47" t="s">
        <v>368</v>
      </c>
      <c r="H47" t="str">
        <f t="shared" si="0"/>
        <v>{ name: "ECSTAR PETROL 0W-20-210 L", code:"7427401", uom:210},</v>
      </c>
    </row>
    <row r="48" spans="1:8" x14ac:dyDescent="0.3">
      <c r="A48" t="s">
        <v>367</v>
      </c>
      <c r="B48" t="s">
        <v>373</v>
      </c>
      <c r="C48" t="s">
        <v>369</v>
      </c>
      <c r="D48">
        <v>7470401</v>
      </c>
      <c r="E48" t="s">
        <v>370</v>
      </c>
      <c r="F48">
        <v>210</v>
      </c>
      <c r="G48" t="s">
        <v>368</v>
      </c>
      <c r="H48" t="str">
        <f t="shared" si="0"/>
        <v>{ name: "S FLEET SUPREME CI4PLUS 15W-40-210 L", code:"7470401", uom:210},</v>
      </c>
    </row>
    <row r="49" spans="1:8" x14ac:dyDescent="0.3">
      <c r="A49" t="s">
        <v>367</v>
      </c>
      <c r="B49" t="s">
        <v>374</v>
      </c>
      <c r="C49" t="s">
        <v>369</v>
      </c>
      <c r="D49">
        <v>7472184</v>
      </c>
      <c r="E49" t="s">
        <v>370</v>
      </c>
      <c r="F49">
        <v>20.000000000000014</v>
      </c>
      <c r="G49" t="s">
        <v>368</v>
      </c>
      <c r="H49" t="str">
        <f t="shared" si="0"/>
        <v>{ name: "SERVO FLEET CF4 15W-40 - 20 X 1 L", code:"7472184", uom:20},</v>
      </c>
    </row>
    <row r="50" spans="1:8" x14ac:dyDescent="0.3">
      <c r="A50" t="s">
        <v>367</v>
      </c>
      <c r="B50" t="s">
        <v>167</v>
      </c>
      <c r="C50" t="s">
        <v>369</v>
      </c>
      <c r="D50">
        <v>7485174</v>
      </c>
      <c r="E50" t="s">
        <v>370</v>
      </c>
      <c r="F50">
        <v>20.000000000000011</v>
      </c>
      <c r="G50" t="s">
        <v>368</v>
      </c>
      <c r="H50" t="str">
        <f t="shared" si="0"/>
        <v>{ name: "SERVO SUPER 20W-40 MG-40X1/2L", code:"7485174", uom:20},</v>
      </c>
    </row>
    <row r="51" spans="1:8" x14ac:dyDescent="0.3">
      <c r="A51" t="s">
        <v>367</v>
      </c>
      <c r="B51" t="s">
        <v>168</v>
      </c>
      <c r="C51" t="s">
        <v>369</v>
      </c>
      <c r="D51">
        <v>7485184</v>
      </c>
      <c r="E51" t="s">
        <v>370</v>
      </c>
      <c r="F51">
        <v>20.000000000000014</v>
      </c>
      <c r="G51" t="s">
        <v>368</v>
      </c>
      <c r="H51" t="str">
        <f t="shared" si="0"/>
        <v>{ name: "SERVO SUPER 20W-40 MG-20 X 1 L", code:"7485184", uom:20},</v>
      </c>
    </row>
    <row r="52" spans="1:8" x14ac:dyDescent="0.3">
      <c r="A52" t="s">
        <v>367</v>
      </c>
      <c r="B52" t="s">
        <v>169</v>
      </c>
      <c r="C52" t="s">
        <v>369</v>
      </c>
      <c r="D52">
        <v>7485234</v>
      </c>
      <c r="E52" t="s">
        <v>370</v>
      </c>
      <c r="F52">
        <v>20.000000000000014</v>
      </c>
      <c r="G52" t="s">
        <v>368</v>
      </c>
      <c r="H52" t="str">
        <f t="shared" si="0"/>
        <v>{ name: "SERVO SUPER 20W-40 MG-4x5L - HDPE", code:"7485234", uom:20},</v>
      </c>
    </row>
    <row r="53" spans="1:8" x14ac:dyDescent="0.3">
      <c r="A53" t="s">
        <v>367</v>
      </c>
      <c r="B53" t="s">
        <v>170</v>
      </c>
      <c r="C53" t="s">
        <v>369</v>
      </c>
      <c r="D53">
        <v>7485242</v>
      </c>
      <c r="E53" t="s">
        <v>370</v>
      </c>
      <c r="F53">
        <v>10.000000000000005</v>
      </c>
      <c r="G53" t="s">
        <v>368</v>
      </c>
      <c r="H53" t="str">
        <f t="shared" si="0"/>
        <v>{ name: "SERVO SUPER 20W-40 MG-10 L", code:"7485242", uom:10},</v>
      </c>
    </row>
    <row r="54" spans="1:8" x14ac:dyDescent="0.3">
      <c r="A54" t="s">
        <v>367</v>
      </c>
      <c r="B54" t="s">
        <v>171</v>
      </c>
      <c r="C54" t="s">
        <v>369</v>
      </c>
      <c r="D54">
        <v>7485251</v>
      </c>
      <c r="E54" t="s">
        <v>370</v>
      </c>
      <c r="F54">
        <v>7.5000000000000053</v>
      </c>
      <c r="G54" t="s">
        <v>368</v>
      </c>
      <c r="H54" t="str">
        <f t="shared" si="0"/>
        <v>{ name: "SERVO SUPER 20W-40 MG-7.5 L", code:"7485251", uom:7.50000000000001},</v>
      </c>
    </row>
    <row r="55" spans="1:8" x14ac:dyDescent="0.3">
      <c r="A55" t="s">
        <v>367</v>
      </c>
      <c r="B55" t="s">
        <v>172</v>
      </c>
      <c r="C55" t="s">
        <v>369</v>
      </c>
      <c r="D55">
        <v>7485265</v>
      </c>
      <c r="E55" t="s">
        <v>370</v>
      </c>
      <c r="F55">
        <v>20.000000000000014</v>
      </c>
      <c r="G55" t="s">
        <v>368</v>
      </c>
      <c r="H55" t="str">
        <f t="shared" si="0"/>
        <v>{ name: "SERVO SUPER 20W-40 MG-20 L", code:"7485265", uom:20},</v>
      </c>
    </row>
    <row r="56" spans="1:8" x14ac:dyDescent="0.3">
      <c r="A56" t="s">
        <v>367</v>
      </c>
      <c r="B56" t="s">
        <v>173</v>
      </c>
      <c r="C56" t="s">
        <v>369</v>
      </c>
      <c r="D56">
        <v>7489184</v>
      </c>
      <c r="E56" t="s">
        <v>370</v>
      </c>
      <c r="F56">
        <v>20.000000000000014</v>
      </c>
      <c r="G56" t="s">
        <v>368</v>
      </c>
      <c r="H56" t="str">
        <f t="shared" si="0"/>
        <v>{ name: "SERVO PRIDE XL PLUS 15W40-20 X 1 L", code:"7489184", uom:20},</v>
      </c>
    </row>
    <row r="57" spans="1:8" x14ac:dyDescent="0.3">
      <c r="A57" t="s">
        <v>367</v>
      </c>
      <c r="B57" t="s">
        <v>175</v>
      </c>
      <c r="C57" t="s">
        <v>369</v>
      </c>
      <c r="D57">
        <v>7489234</v>
      </c>
      <c r="E57" t="s">
        <v>370</v>
      </c>
      <c r="F57">
        <v>20.000000000000014</v>
      </c>
      <c r="G57" t="s">
        <v>368</v>
      </c>
      <c r="H57" t="str">
        <f t="shared" si="0"/>
        <v>{ name: "SERVO PRIDE XL PLUS 15W40-4x5L - HDPE", code:"7489234", uom:20},</v>
      </c>
    </row>
    <row r="58" spans="1:8" x14ac:dyDescent="0.3">
      <c r="A58" t="s">
        <v>367</v>
      </c>
      <c r="B58" t="s">
        <v>178</v>
      </c>
      <c r="C58" t="s">
        <v>369</v>
      </c>
      <c r="D58">
        <v>7489253</v>
      </c>
      <c r="E58" t="s">
        <v>370</v>
      </c>
      <c r="F58">
        <v>15</v>
      </c>
      <c r="G58" t="s">
        <v>368</v>
      </c>
      <c r="H58" t="str">
        <f t="shared" si="0"/>
        <v>{ name: "SERVO PRIDE XL PLUS 15W40-15L PROMO", code:"7489253", uom:15},</v>
      </c>
    </row>
    <row r="59" spans="1:8" x14ac:dyDescent="0.3">
      <c r="A59" t="s">
        <v>367</v>
      </c>
      <c r="B59" t="s">
        <v>179</v>
      </c>
      <c r="C59" t="s">
        <v>369</v>
      </c>
      <c r="D59">
        <v>7489265</v>
      </c>
      <c r="E59" t="s">
        <v>370</v>
      </c>
      <c r="F59">
        <v>20.000000000000014</v>
      </c>
      <c r="G59" t="s">
        <v>368</v>
      </c>
      <c r="H59" t="str">
        <f t="shared" si="0"/>
        <v>{ name: "SERVO PRIDE XL PLUS 15W40-20 L", code:"7489265", uom:20},</v>
      </c>
    </row>
    <row r="60" spans="1:8" x14ac:dyDescent="0.3">
      <c r="A60" t="s">
        <v>367</v>
      </c>
      <c r="B60" t="s">
        <v>216</v>
      </c>
      <c r="C60" t="s">
        <v>369</v>
      </c>
      <c r="D60">
        <v>7511184</v>
      </c>
      <c r="E60" t="s">
        <v>370</v>
      </c>
      <c r="F60">
        <v>20.000000000000014</v>
      </c>
      <c r="G60" t="s">
        <v>368</v>
      </c>
      <c r="H60" t="str">
        <f t="shared" si="0"/>
        <v>{ name: "SERVO GEAR SUPER 80W-90 - 20 X 1 L HDPE", code:"7511184", uom:20},</v>
      </c>
    </row>
    <row r="61" spans="1:8" x14ac:dyDescent="0.3">
      <c r="A61" t="s">
        <v>367</v>
      </c>
      <c r="B61" t="s">
        <v>53</v>
      </c>
      <c r="C61" t="s">
        <v>369</v>
      </c>
      <c r="D61">
        <v>7511401</v>
      </c>
      <c r="E61" t="s">
        <v>370</v>
      </c>
      <c r="F61">
        <v>210</v>
      </c>
      <c r="G61" t="s">
        <v>368</v>
      </c>
      <c r="H61" t="str">
        <f t="shared" si="0"/>
        <v>{ name: "SERVO GEAR SUPER 80W-90 - 210L BRL", code:"7511401", uom:210},</v>
      </c>
    </row>
    <row r="62" spans="1:8" x14ac:dyDescent="0.3">
      <c r="A62" t="s">
        <v>367</v>
      </c>
      <c r="B62" t="s">
        <v>188</v>
      </c>
      <c r="C62" t="s">
        <v>369</v>
      </c>
      <c r="D62">
        <v>7556184</v>
      </c>
      <c r="E62" t="s">
        <v>370</v>
      </c>
      <c r="F62">
        <v>20.000000000000014</v>
      </c>
      <c r="G62" t="s">
        <v>368</v>
      </c>
      <c r="H62" t="str">
        <f t="shared" si="0"/>
        <v>{ name: "SERVO PRIDE TC 15W40 - 20X1L-HDPE", code:"7556184", uom:20},</v>
      </c>
    </row>
    <row r="63" spans="1:8" x14ac:dyDescent="0.3">
      <c r="A63" t="s">
        <v>367</v>
      </c>
      <c r="B63" t="s">
        <v>191</v>
      </c>
      <c r="C63" t="s">
        <v>369</v>
      </c>
      <c r="D63">
        <v>7556234</v>
      </c>
      <c r="E63" t="s">
        <v>370</v>
      </c>
      <c r="F63">
        <v>20.000000000000014</v>
      </c>
      <c r="G63" t="s">
        <v>368</v>
      </c>
      <c r="H63" t="str">
        <f t="shared" si="0"/>
        <v>{ name: "SERVO PRIDE TC 15W-40- 4 X 5L", code:"7556234", uom:20},</v>
      </c>
    </row>
    <row r="64" spans="1:8" x14ac:dyDescent="0.3">
      <c r="A64" t="s">
        <v>367</v>
      </c>
      <c r="B64" t="s">
        <v>192</v>
      </c>
      <c r="C64" t="s">
        <v>369</v>
      </c>
      <c r="D64">
        <v>7556241</v>
      </c>
      <c r="E64" t="s">
        <v>370</v>
      </c>
      <c r="F64">
        <v>10</v>
      </c>
      <c r="G64" t="s">
        <v>368</v>
      </c>
      <c r="H64" t="str">
        <f t="shared" si="0"/>
        <v>{ name: "SERVO PRIDE TC 15W40-10L PROMO", code:"7556241", uom:10},</v>
      </c>
    </row>
    <row r="65" spans="1:8" x14ac:dyDescent="0.3">
      <c r="A65" t="s">
        <v>367</v>
      </c>
      <c r="B65" t="s">
        <v>194</v>
      </c>
      <c r="C65" t="s">
        <v>369</v>
      </c>
      <c r="D65">
        <v>7556250</v>
      </c>
      <c r="E65" t="s">
        <v>370</v>
      </c>
      <c r="F65">
        <v>7.5</v>
      </c>
      <c r="G65" t="s">
        <v>368</v>
      </c>
      <c r="H65" t="str">
        <f t="shared" si="0"/>
        <v>{ name: "SERVO PRIDE TC 15W40-7.5L PROMO", code:"7556250", uom:7.5},</v>
      </c>
    </row>
    <row r="66" spans="1:8" x14ac:dyDescent="0.3">
      <c r="A66" t="s">
        <v>367</v>
      </c>
      <c r="B66" t="s">
        <v>196</v>
      </c>
      <c r="C66" t="s">
        <v>369</v>
      </c>
      <c r="D66">
        <v>7556253</v>
      </c>
      <c r="E66" t="s">
        <v>370</v>
      </c>
      <c r="F66">
        <v>15</v>
      </c>
      <c r="G66" t="s">
        <v>368</v>
      </c>
      <c r="H66" t="str">
        <f t="shared" si="0"/>
        <v>{ name: "SERVO PRIDE TC 15W40-15L PROMO", code:"7556253", uom:15},</v>
      </c>
    </row>
    <row r="67" spans="1:8" x14ac:dyDescent="0.3">
      <c r="A67" t="s">
        <v>367</v>
      </c>
      <c r="B67" t="s">
        <v>198</v>
      </c>
      <c r="C67" t="s">
        <v>369</v>
      </c>
      <c r="D67">
        <v>7577174</v>
      </c>
      <c r="E67" t="s">
        <v>370</v>
      </c>
      <c r="F67">
        <v>20.000000000000011</v>
      </c>
      <c r="G67" t="s">
        <v>368</v>
      </c>
      <c r="H67" t="str">
        <f t="shared" ref="H67:H87" si="1">_xlfn.CONCAT(A67,B67,C67,D67,E67,F67,G67)</f>
        <v>{ name: "SERVO PREMIUM CF-4 15W-40-40X1/2L-HDPE", code:"7577174", uom:20},</v>
      </c>
    </row>
    <row r="68" spans="1:8" x14ac:dyDescent="0.3">
      <c r="A68" t="s">
        <v>367</v>
      </c>
      <c r="B68" t="s">
        <v>199</v>
      </c>
      <c r="C68" t="s">
        <v>369</v>
      </c>
      <c r="D68">
        <v>7577184</v>
      </c>
      <c r="E68" t="s">
        <v>370</v>
      </c>
      <c r="F68">
        <v>20.000000000000014</v>
      </c>
      <c r="G68" t="s">
        <v>368</v>
      </c>
      <c r="H68" t="str">
        <f t="shared" si="1"/>
        <v>{ name: "SERVO PREMIUM CF-4 15W-40-20X1L-HDPE", code:"7577184", uom:20},</v>
      </c>
    </row>
    <row r="69" spans="1:8" x14ac:dyDescent="0.3">
      <c r="A69" t="s">
        <v>367</v>
      </c>
      <c r="B69" t="s">
        <v>201</v>
      </c>
      <c r="C69" t="s">
        <v>369</v>
      </c>
      <c r="D69">
        <v>7577234</v>
      </c>
      <c r="E69" t="s">
        <v>370</v>
      </c>
      <c r="F69">
        <v>20.000000000000014</v>
      </c>
      <c r="G69" t="s">
        <v>368</v>
      </c>
      <c r="H69" t="str">
        <f t="shared" si="1"/>
        <v>{ name: "SERVO PREMIUM CF-4 15W-40-4X5L-HDPE", code:"7577234", uom:20},</v>
      </c>
    </row>
    <row r="70" spans="1:8" x14ac:dyDescent="0.3">
      <c r="A70" t="s">
        <v>367</v>
      </c>
      <c r="B70" t="s">
        <v>376</v>
      </c>
      <c r="C70" t="s">
        <v>369</v>
      </c>
      <c r="D70">
        <v>7577240</v>
      </c>
      <c r="E70" t="s">
        <v>370</v>
      </c>
      <c r="F70">
        <v>20</v>
      </c>
      <c r="G70" t="s">
        <v>368</v>
      </c>
      <c r="H70" t="str">
        <f t="shared" si="1"/>
        <v>{ name: "SERVO PREMIUM CF-4 15W-40-4x5L - PROMO", code:"7577240", uom:20},</v>
      </c>
    </row>
    <row r="71" spans="1:8" x14ac:dyDescent="0.3">
      <c r="A71" t="s">
        <v>367</v>
      </c>
      <c r="B71" t="s">
        <v>204</v>
      </c>
      <c r="C71" t="s">
        <v>369</v>
      </c>
      <c r="D71">
        <v>7577256</v>
      </c>
      <c r="E71" t="s">
        <v>370</v>
      </c>
      <c r="F71">
        <v>15.000000000000009</v>
      </c>
      <c r="G71" t="s">
        <v>368</v>
      </c>
      <c r="H71" t="str">
        <f t="shared" si="1"/>
        <v>{ name: "SERVO PREMIUM CF-4 15W-40-15 L", code:"7577256", uom:15},</v>
      </c>
    </row>
    <row r="72" spans="1:8" x14ac:dyDescent="0.3">
      <c r="A72" t="s">
        <v>367</v>
      </c>
      <c r="B72" t="s">
        <v>47</v>
      </c>
      <c r="C72" t="s">
        <v>369</v>
      </c>
      <c r="D72">
        <v>7577401</v>
      </c>
      <c r="E72" t="s">
        <v>370</v>
      </c>
      <c r="F72">
        <v>210</v>
      </c>
      <c r="G72" t="s">
        <v>368</v>
      </c>
      <c r="H72" t="str">
        <f t="shared" si="1"/>
        <v>{ name: "SERVO PREMIUM CF-4 15W-40 - 210L BRL", code:"7577401", uom:210},</v>
      </c>
    </row>
    <row r="73" spans="1:8" x14ac:dyDescent="0.3">
      <c r="A73" t="s">
        <v>367</v>
      </c>
      <c r="B73" t="s">
        <v>321</v>
      </c>
      <c r="C73" t="s">
        <v>369</v>
      </c>
      <c r="D73">
        <v>7584175</v>
      </c>
      <c r="E73" t="s">
        <v>370</v>
      </c>
      <c r="F73">
        <v>10.000000000000005</v>
      </c>
      <c r="G73" t="s">
        <v>368</v>
      </c>
      <c r="H73" t="str">
        <f t="shared" si="1"/>
        <v>{ name: "SERVO KOOL PLUS-20X1/2L-HDPE", code:"7584175", uom:10},</v>
      </c>
    </row>
    <row r="74" spans="1:8" x14ac:dyDescent="0.3">
      <c r="A74" t="s">
        <v>367</v>
      </c>
      <c r="B74" t="s">
        <v>322</v>
      </c>
      <c r="C74" t="s">
        <v>369</v>
      </c>
      <c r="D74">
        <v>7584184</v>
      </c>
      <c r="E74" t="s">
        <v>370</v>
      </c>
      <c r="F74">
        <v>20.000000000000014</v>
      </c>
      <c r="G74" t="s">
        <v>368</v>
      </c>
      <c r="H74" t="str">
        <f t="shared" si="1"/>
        <v>{ name: "SERVO KOOL PLUS-20X1L-HDPE", code:"7584184", uom:20},</v>
      </c>
    </row>
    <row r="75" spans="1:8" x14ac:dyDescent="0.3">
      <c r="A75" t="s">
        <v>367</v>
      </c>
      <c r="B75" t="s">
        <v>65</v>
      </c>
      <c r="C75" t="s">
        <v>369</v>
      </c>
      <c r="D75">
        <v>7584401</v>
      </c>
      <c r="E75" t="s">
        <v>370</v>
      </c>
      <c r="F75">
        <v>210</v>
      </c>
      <c r="G75" t="s">
        <v>368</v>
      </c>
      <c r="H75" t="str">
        <f t="shared" si="1"/>
        <v>{ name: "SERVO KOOL PLUS -210L BRL", code:"7584401", uom:210},</v>
      </c>
    </row>
    <row r="76" spans="1:8" x14ac:dyDescent="0.3">
      <c r="A76" t="s">
        <v>367</v>
      </c>
      <c r="B76" t="s">
        <v>105</v>
      </c>
      <c r="C76" t="s">
        <v>369</v>
      </c>
      <c r="D76">
        <v>7600184</v>
      </c>
      <c r="E76" t="s">
        <v>370</v>
      </c>
      <c r="F76">
        <v>20.000000000000014</v>
      </c>
      <c r="G76" t="s">
        <v>368</v>
      </c>
      <c r="H76" t="str">
        <f t="shared" si="1"/>
        <v>{ name: "MGO 20W-40 - 20 X 1 L", code:"7600184", uom:20},</v>
      </c>
    </row>
    <row r="77" spans="1:8" x14ac:dyDescent="0.3">
      <c r="A77" t="s">
        <v>367</v>
      </c>
      <c r="B77" t="s">
        <v>106</v>
      </c>
      <c r="C77" t="s">
        <v>369</v>
      </c>
      <c r="D77">
        <v>7600203</v>
      </c>
      <c r="E77" t="s">
        <v>370</v>
      </c>
      <c r="F77">
        <v>12.000000000000005</v>
      </c>
      <c r="G77" t="s">
        <v>368</v>
      </c>
      <c r="H77" t="str">
        <f t="shared" si="1"/>
        <v>{ name: "MGO 20W-40 - 4 X 3 L", code:"7600203", uom:12},</v>
      </c>
    </row>
    <row r="78" spans="1:8" x14ac:dyDescent="0.3">
      <c r="A78" t="s">
        <v>367</v>
      </c>
      <c r="B78" t="s">
        <v>123</v>
      </c>
      <c r="C78" t="s">
        <v>369</v>
      </c>
      <c r="D78">
        <v>7638234</v>
      </c>
      <c r="E78" t="s">
        <v>370</v>
      </c>
      <c r="F78">
        <v>20.000000000000014</v>
      </c>
      <c r="G78" t="s">
        <v>368</v>
      </c>
      <c r="H78" t="str">
        <f t="shared" si="1"/>
        <v>{ name: "HYUNDAI SERVO CRDi PREM.ENG.OIL 4X5L-HDP", code:"7638234", uom:20},</v>
      </c>
    </row>
    <row r="79" spans="1:8" x14ac:dyDescent="0.3">
      <c r="A79" t="s">
        <v>367</v>
      </c>
      <c r="B79" t="s">
        <v>107</v>
      </c>
      <c r="C79" t="s">
        <v>369</v>
      </c>
      <c r="D79">
        <v>7670213</v>
      </c>
      <c r="E79" t="s">
        <v>370</v>
      </c>
      <c r="F79">
        <v>14.000000000000004</v>
      </c>
      <c r="G79" t="s">
        <v>368</v>
      </c>
      <c r="H79" t="str">
        <f t="shared" si="1"/>
        <v>{ name: "MGDO 15W-40 - 4 X 3.5 L", code:"7670213", uom:14},</v>
      </c>
    </row>
    <row r="80" spans="1:8" x14ac:dyDescent="0.3">
      <c r="A80" t="s">
        <v>367</v>
      </c>
      <c r="B80" t="s">
        <v>108</v>
      </c>
      <c r="C80" t="s">
        <v>369</v>
      </c>
      <c r="D80">
        <v>7688203</v>
      </c>
      <c r="E80" t="s">
        <v>370</v>
      </c>
      <c r="F80">
        <v>12.000000000000005</v>
      </c>
      <c r="G80" t="s">
        <v>368</v>
      </c>
      <c r="H80" t="str">
        <f t="shared" si="1"/>
        <v>{ name: "MGO 5W-30-4 X 3 L", code:"7688203", uom:12},</v>
      </c>
    </row>
    <row r="81" spans="1:8" x14ac:dyDescent="0.3">
      <c r="A81" t="s">
        <v>367</v>
      </c>
      <c r="B81" t="s">
        <v>109</v>
      </c>
      <c r="C81" t="s">
        <v>369</v>
      </c>
      <c r="D81">
        <v>7688213</v>
      </c>
      <c r="E81" t="s">
        <v>370</v>
      </c>
      <c r="F81">
        <v>14.000000000000004</v>
      </c>
      <c r="G81" t="s">
        <v>368</v>
      </c>
      <c r="H81" t="str">
        <f t="shared" si="1"/>
        <v>{ name: "MGO 5W-30-4x3.5L HDPE", code:"7688213", uom:14},</v>
      </c>
    </row>
    <row r="82" spans="1:8" x14ac:dyDescent="0.3">
      <c r="A82" t="s">
        <v>367</v>
      </c>
      <c r="B82" t="s">
        <v>288</v>
      </c>
      <c r="C82" t="s">
        <v>369</v>
      </c>
      <c r="D82">
        <v>7705303</v>
      </c>
      <c r="E82" t="s">
        <v>370</v>
      </c>
      <c r="F82">
        <v>9.9999999999999982</v>
      </c>
      <c r="G82" t="s">
        <v>368</v>
      </c>
      <c r="H82" t="str">
        <f t="shared" si="1"/>
        <v>{ name: "SERVO GREASE MP 3 - 20 X 1/2 KG CTN", code:"7705303", uom:10},</v>
      </c>
    </row>
    <row r="83" spans="1:8" x14ac:dyDescent="0.3">
      <c r="A83" t="s">
        <v>367</v>
      </c>
      <c r="B83" t="s">
        <v>289</v>
      </c>
      <c r="C83" t="s">
        <v>369</v>
      </c>
      <c r="D83">
        <v>7705313</v>
      </c>
      <c r="E83" t="s">
        <v>370</v>
      </c>
      <c r="F83">
        <v>10</v>
      </c>
      <c r="G83" t="s">
        <v>368</v>
      </c>
      <c r="H83" t="str">
        <f t="shared" si="1"/>
        <v>{ name: "SERVO GREASE MP 3 - 10 X 1 KG CTN", code:"7705313", uom:10},</v>
      </c>
    </row>
    <row r="84" spans="1:8" x14ac:dyDescent="0.3">
      <c r="A84" t="s">
        <v>367</v>
      </c>
      <c r="B84" t="s">
        <v>291</v>
      </c>
      <c r="C84" t="s">
        <v>369</v>
      </c>
      <c r="D84">
        <v>7705337</v>
      </c>
      <c r="E84" t="s">
        <v>370</v>
      </c>
      <c r="F84">
        <v>11.999999999999998</v>
      </c>
      <c r="G84" t="s">
        <v>368</v>
      </c>
      <c r="H84" t="str">
        <f t="shared" si="1"/>
        <v>{ name: "SERVOGREASE MP 3-4X3 KG", code:"7705337", uom:12},</v>
      </c>
    </row>
    <row r="85" spans="1:8" x14ac:dyDescent="0.3">
      <c r="A85" t="s">
        <v>367</v>
      </c>
      <c r="B85" t="s">
        <v>292</v>
      </c>
      <c r="C85" t="s">
        <v>369</v>
      </c>
      <c r="D85">
        <v>7705339</v>
      </c>
      <c r="E85" t="s">
        <v>370</v>
      </c>
      <c r="F85">
        <v>5</v>
      </c>
      <c r="G85" t="s">
        <v>368</v>
      </c>
      <c r="H85" t="str">
        <f t="shared" si="1"/>
        <v>{ name: "SERVOGREASE MP 3 - 5 KG BUC", code:"7705339", uom:5},</v>
      </c>
    </row>
    <row r="86" spans="1:8" x14ac:dyDescent="0.3">
      <c r="A86" t="s">
        <v>367</v>
      </c>
      <c r="B86" t="s">
        <v>294</v>
      </c>
      <c r="C86" t="s">
        <v>369</v>
      </c>
      <c r="D86">
        <v>7705341</v>
      </c>
      <c r="E86" t="s">
        <v>370</v>
      </c>
      <c r="F86">
        <v>20.000000000000011</v>
      </c>
      <c r="G86" t="s">
        <v>368</v>
      </c>
      <c r="H86" t="str">
        <f t="shared" si="1"/>
        <v>{ name: "SERVOGREASE MP 3 -20 KG BUC", code:"7705341", uom:20},</v>
      </c>
    </row>
    <row r="87" spans="1:8" x14ac:dyDescent="0.3">
      <c r="A87" t="s">
        <v>367</v>
      </c>
      <c r="B87" t="s">
        <v>61</v>
      </c>
      <c r="C87" t="s">
        <v>369</v>
      </c>
      <c r="D87">
        <v>7705451</v>
      </c>
      <c r="E87" t="s">
        <v>370</v>
      </c>
      <c r="F87">
        <v>182</v>
      </c>
      <c r="G87" t="s">
        <v>378</v>
      </c>
      <c r="H87" t="str">
        <f t="shared" si="1"/>
        <v>{ name: "SERVOGREASE MP 3 - 182 KG DRM", code:"7705451", uom:182}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Small Pricelist</vt:lpstr>
      <vt:lpstr>small</vt:lpstr>
      <vt:lpstr>Barrel Pricelist</vt:lpstr>
      <vt:lpstr>Barrel</vt:lpstr>
      <vt:lpstr>ro bazaar order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2026-01-07T08:15:10Z</dcterms:created>
  <dcterms:modified xsi:type="dcterms:W3CDTF">2026-04-09T08:07:41Z</dcterms:modified>
</cp:coreProperties>
</file>